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rids\Downloads\TSL_Data_Analyst_Assessment_Pack\Processed Data\"/>
    </mc:Choice>
  </mc:AlternateContent>
  <xr:revisionPtr revIDLastSave="0" documentId="13_ncr:1_{D0E5FB9E-97F7-4287-9249-4941695B610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sk 1 Data Validation &amp; Cleani" sheetId="3" r:id="rId1"/>
    <sheet name="Task 2 KPI_Analysis" sheetId="4" r:id="rId2"/>
    <sheet name="Task 3 Business Insights" sheetId="5" r:id="rId3"/>
    <sheet name="Fleet_Data" sheetId="1" r:id="rId4"/>
    <sheet name="Fuel_Events" sheetId="2" r:id="rId5"/>
    <sheet name="Task 4 Fuel Investigation" sheetId="6" r:id="rId6"/>
    <sheet name="Task 4 Fuel Investigation Q-4&amp;5" sheetId="7" r:id="rId7"/>
  </sheets>
  <definedNames>
    <definedName name="_xlnm._FilterDatabase" localSheetId="3" hidden="1">Fleet_Data!$A$1:$J$1</definedName>
    <definedName name="_xlnm._FilterDatabase" localSheetId="2" hidden="1">'Task 3 Business Insights'!$L$1:$O$21</definedName>
    <definedName name="_xlnm._FilterDatabase" localSheetId="5" hidden="1">'Task 4 Fuel Investigation'!$A$1:$F$304</definedName>
    <definedName name="_xlnm._FilterDatabase" localSheetId="6" hidden="1">'Task 4 Fuel Investigation Q-4&amp;5'!$A$1:$B$1</definedName>
  </definedNames>
  <calcPr calcId="191029"/>
  <pivotCaches>
    <pivotCache cacheId="7" r:id="rId8"/>
    <pivotCache cacheId="1" r:id="rId9"/>
    <pivotCache cacheId="6" r:id="rId10"/>
    <pivotCache cacheId="1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2" i="6"/>
  <c r="O3" i="5"/>
  <c r="O4" i="5"/>
  <c r="O5" i="5"/>
  <c r="O2" i="5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2" i="1"/>
  <c r="O5" i="4"/>
  <c r="L5" i="4"/>
  <c r="H5" i="4"/>
  <c r="E5" i="4"/>
  <c r="B5" i="4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2" i="1"/>
  <c r="E4" i="3" s="1"/>
  <c r="H4" i="3" l="1"/>
</calcChain>
</file>

<file path=xl/sharedStrings.xml><?xml version="1.0" encoding="utf-8"?>
<sst xmlns="http://schemas.openxmlformats.org/spreadsheetml/2006/main" count="3722" uniqueCount="150">
  <si>
    <t>Vehicle_ID</t>
  </si>
  <si>
    <t>Driver_Name</t>
  </si>
  <si>
    <t>Date</t>
  </si>
  <si>
    <t>Distance_KM</t>
  </si>
  <si>
    <t>Fuel_Consumed_L</t>
  </si>
  <si>
    <t>Idle_Time_Hrs</t>
  </si>
  <si>
    <t>Trips</t>
  </si>
  <si>
    <t>Average_Speed_KMH</t>
  </si>
  <si>
    <t>Route_Compliance_Pct</t>
  </si>
  <si>
    <t>VH-004</t>
  </si>
  <si>
    <t>Driver D</t>
  </si>
  <si>
    <t>VH-003</t>
  </si>
  <si>
    <t>Driver C</t>
  </si>
  <si>
    <t>VH-018</t>
  </si>
  <si>
    <t>Driver R</t>
  </si>
  <si>
    <t>VH-014</t>
  </si>
  <si>
    <t>Driver N</t>
  </si>
  <si>
    <t>VH-012</t>
  </si>
  <si>
    <t>Driver L</t>
  </si>
  <si>
    <t>VH-008</t>
  </si>
  <si>
    <t>Driver H</t>
  </si>
  <si>
    <t>VH-002</t>
  </si>
  <si>
    <t>Driver B</t>
  </si>
  <si>
    <t>VH-011</t>
  </si>
  <si>
    <t>Driver K</t>
  </si>
  <si>
    <t>VH-005</t>
  </si>
  <si>
    <t>Driver E</t>
  </si>
  <si>
    <t>VH-001</t>
  </si>
  <si>
    <t>Driver A</t>
  </si>
  <si>
    <t>VH-010</t>
  </si>
  <si>
    <t>Driver J</t>
  </si>
  <si>
    <t>VH-017</t>
  </si>
  <si>
    <t>Driver Q</t>
  </si>
  <si>
    <t>VH-007</t>
  </si>
  <si>
    <t>Driver G</t>
  </si>
  <si>
    <t>VH-015</t>
  </si>
  <si>
    <t>Driver O</t>
  </si>
  <si>
    <t>VH-006</t>
  </si>
  <si>
    <t>Driver F</t>
  </si>
  <si>
    <t>VH-013</t>
  </si>
  <si>
    <t>Driver M</t>
  </si>
  <si>
    <t>VH-019</t>
  </si>
  <si>
    <t>Driver S</t>
  </si>
  <si>
    <t>VH-016</t>
  </si>
  <si>
    <t>Driver P</t>
  </si>
  <si>
    <t>VH-020</t>
  </si>
  <si>
    <t>Driver T</t>
  </si>
  <si>
    <t>VH-009</t>
  </si>
  <si>
    <t>Driver I</t>
  </si>
  <si>
    <t>Timestamp</t>
  </si>
  <si>
    <t>Event_Type</t>
  </si>
  <si>
    <t>Quantity_L</t>
  </si>
  <si>
    <t>Location</t>
  </si>
  <si>
    <t>Consumption Alert</t>
  </si>
  <si>
    <t>Vadodara</t>
  </si>
  <si>
    <t>Refuel</t>
  </si>
  <si>
    <t>Ahmedabad</t>
  </si>
  <si>
    <t>Fuel Drop</t>
  </si>
  <si>
    <t>Rajkot</t>
  </si>
  <si>
    <t>Fuel Fill</t>
  </si>
  <si>
    <t>Bharuch</t>
  </si>
  <si>
    <t>Indore</t>
  </si>
  <si>
    <t>Surat</t>
  </si>
  <si>
    <t>Remote Route</t>
  </si>
  <si>
    <t>Row Labels</t>
  </si>
  <si>
    <t>Grand Total</t>
  </si>
  <si>
    <t>Sum of Distance_KM</t>
  </si>
  <si>
    <t>Sum of Fuel_Consumed_L</t>
  </si>
  <si>
    <t>Missing Values of Fleet data</t>
  </si>
  <si>
    <t>Identifying Duplicates</t>
  </si>
  <si>
    <t>Vehlicle Duplicate</t>
  </si>
  <si>
    <t>Spotting Suspicious Records</t>
  </si>
  <si>
    <t>Flagging Poor Fuel Efficiency</t>
  </si>
  <si>
    <t>Total Anomaly Alerts</t>
  </si>
  <si>
    <t>Reasoning</t>
  </si>
  <si>
    <r>
      <rPr>
        <b/>
        <sz val="11"/>
        <color theme="1"/>
        <rFont val="Calibri"/>
        <family val="2"/>
        <scheme val="minor"/>
      </rPr>
      <t>Vehicle_ID &amp; Date</t>
    </r>
    <r>
      <rPr>
        <sz val="11"/>
        <color theme="1"/>
        <rFont val="Calibri"/>
        <family val="2"/>
        <scheme val="minor"/>
      </rPr>
      <t>: Audited to identify duplicates. A vehicle should only have one entry per day; duplicates artificially inflate total fleet distance and fuel metrics.</t>
    </r>
  </si>
  <si>
    <r>
      <rPr>
        <b/>
        <sz val="11"/>
        <color theme="1"/>
        <rFont val="Calibri"/>
        <family val="2"/>
        <scheme val="minor"/>
      </rPr>
      <t>Fuel_Consumed_L, Idle_Time_Hrs, &amp; Route_Compliance_Pct</t>
    </r>
    <r>
      <rPr>
        <sz val="11"/>
        <color theme="1"/>
        <rFont val="Calibri"/>
        <family val="2"/>
        <scheme val="minor"/>
      </rPr>
      <t>: Audited for missing values. These are the only columns containing blanks, which must be isolated so they don't skew fleet averages.</t>
    </r>
  </si>
  <si>
    <r>
      <rPr>
        <b/>
        <sz val="11"/>
        <color theme="1"/>
        <rFont val="Calibri"/>
        <family val="2"/>
        <scheme val="minor"/>
      </rPr>
      <t>Distance_KM &amp; Fuel_Consumed_L:</t>
    </r>
    <r>
      <rPr>
        <sz val="11"/>
        <color theme="1"/>
        <rFont val="Calibri"/>
        <family val="2"/>
        <scheme val="minor"/>
      </rPr>
      <t xml:space="preserve"> Audited together to catch efficiency anomalies (e.g., extremely low KM/L), which immediately flag operational risks like fuel theft or leaks.</t>
    </r>
  </si>
  <si>
    <r>
      <rPr>
        <b/>
        <sz val="11"/>
        <color theme="1"/>
        <rFont val="Calibri"/>
        <family val="2"/>
        <scheme val="minor"/>
      </rPr>
      <t>Idle_Time_Hrs:</t>
    </r>
    <r>
      <rPr>
        <sz val="11"/>
        <color theme="1"/>
        <rFont val="Calibri"/>
        <family val="2"/>
        <scheme val="minor"/>
      </rPr>
      <t xml:space="preserve"> Audited to isolate extreme outliers (e.g., 12+ hours of idling), preventing sensor malfunctions or driver errors from distorting regular fleet benchmarks.</t>
    </r>
  </si>
  <si>
    <t>Why Fuel Data Was Not Cleaned in Task 1:</t>
  </si>
  <si>
    <r>
      <rPr>
        <b/>
        <sz val="11"/>
        <color theme="1"/>
        <rFont val="Calibri"/>
        <family val="2"/>
        <scheme val="minor"/>
      </rPr>
      <t>Anomalies are Intentional:</t>
    </r>
    <r>
      <rPr>
        <sz val="11"/>
        <color theme="1"/>
        <rFont val="Calibri"/>
        <family val="2"/>
        <scheme val="minor"/>
      </rPr>
      <t xml:space="preserve"> Extreme values (odd hours) represent the actual operational risks (theft/leaks) .</t>
    </r>
  </si>
  <si>
    <r>
      <rPr>
        <b/>
        <sz val="11"/>
        <color theme="1"/>
        <rFont val="Calibri"/>
        <family val="2"/>
        <scheme val="minor"/>
      </rPr>
      <t>0 Duplicates:</t>
    </r>
    <r>
      <rPr>
        <sz val="11"/>
        <color theme="1"/>
        <rFont val="Calibri"/>
        <family val="2"/>
        <scheme val="minor"/>
      </rPr>
      <t xml:space="preserve"> Every timestamped event is verified as a unique record.</t>
    </r>
  </si>
  <si>
    <r>
      <rPr>
        <b/>
        <sz val="11"/>
        <color theme="1"/>
        <rFont val="Calibri"/>
        <family val="2"/>
        <scheme val="minor"/>
      </rPr>
      <t>0 Missing Values:</t>
    </r>
    <r>
      <rPr>
        <sz val="11"/>
        <color theme="1"/>
        <rFont val="Calibri"/>
        <family val="2"/>
        <scheme val="minor"/>
      </rPr>
      <t xml:space="preserve"> The dataset is 100% complete across all columns.</t>
    </r>
  </si>
  <si>
    <t>.</t>
  </si>
  <si>
    <t>Main Fleet KPIs</t>
  </si>
  <si>
    <t>Average Fuel Efficiency (KM/L)</t>
  </si>
  <si>
    <t>Total Distance Travelled (KM)</t>
  </si>
  <si>
    <t>Total Fuel Consumed (L)</t>
  </si>
  <si>
    <t>Average Idle Time (Hrs)</t>
  </si>
  <si>
    <t>Average Route Compliance (%)</t>
  </si>
  <si>
    <t>Top 5 Vehicle Leaderboards</t>
  </si>
  <si>
    <t>Top 5 Vehicles by Fuel Consumption</t>
  </si>
  <si>
    <t>Which vehicles are least fuel efficient?</t>
  </si>
  <si>
    <t>Ans</t>
  </si>
  <si>
    <t>Which drivers have unusually high idle times?</t>
  </si>
  <si>
    <t>VH-001 and VH-002</t>
  </si>
  <si>
    <t>-</t>
  </si>
  <si>
    <t>Which vehicles show abnormal fuel consumption?</t>
  </si>
  <si>
    <t>Which vehicles have poor route compliance?</t>
  </si>
  <si>
    <t>What operational improvements would you recommend?</t>
  </si>
  <si>
    <t>Ans 1</t>
  </si>
  <si>
    <t>Ans 2</t>
  </si>
  <si>
    <t>Ans 3</t>
  </si>
  <si>
    <r>
      <rPr>
        <b/>
        <sz val="11"/>
        <color theme="1"/>
        <rFont val="Calibri"/>
        <family val="2"/>
        <scheme val="minor"/>
      </rPr>
      <t>Route Optimization</t>
    </r>
    <r>
      <rPr>
        <sz val="11"/>
        <color theme="1"/>
        <rFont val="Calibri"/>
        <family val="2"/>
        <scheme val="minor"/>
      </rPr>
      <t>: Review the dispatch paths for vehicles scoring below 91% route compliance to see if drivers are intentionally bypassing bad roads or heavy traffic zones, then update standard operating routes accordingly.</t>
    </r>
  </si>
  <si>
    <r>
      <rPr>
        <b/>
        <sz val="11"/>
        <color theme="1"/>
        <rFont val="Calibri"/>
        <family val="2"/>
        <scheme val="minor"/>
      </rPr>
      <t>VH-001</t>
    </r>
    <r>
      <rPr>
        <sz val="11"/>
        <color theme="1"/>
        <rFont val="Calibri"/>
        <family val="2"/>
        <scheme val="minor"/>
      </rPr>
      <t xml:space="preserve"> has highly abnormal consumption ratios relative to its mileage, highlighted by a single day where it burned an extreme 120L for just 250KM (2.08 KM/L)</t>
    </r>
  </si>
  <si>
    <r>
      <rPr>
        <b/>
        <sz val="11"/>
        <color theme="1"/>
        <rFont val="Calibri"/>
        <family val="2"/>
        <scheme val="minor"/>
      </rPr>
      <t>VH-002</t>
    </r>
    <r>
      <rPr>
        <sz val="11"/>
        <color theme="1"/>
        <rFont val="Calibri"/>
        <family val="2"/>
        <scheme val="minor"/>
      </rPr>
      <t xml:space="preserve"> shows an abnormal relationship between fuel drop alerts and engine idling patterns.</t>
    </r>
  </si>
  <si>
    <r>
      <rPr>
        <b/>
        <sz val="11"/>
        <color theme="1"/>
        <rFont val="Calibri"/>
        <family val="2"/>
        <scheme val="minor"/>
      </rPr>
      <t>Driver Training Intervention:</t>
    </r>
    <r>
      <rPr>
        <sz val="11"/>
        <color theme="1"/>
        <rFont val="Calibri"/>
        <family val="2"/>
        <scheme val="minor"/>
      </rPr>
      <t xml:space="preserve"> Mandate an immediate driving behavior review for </t>
    </r>
    <r>
      <rPr>
        <b/>
        <sz val="11"/>
        <color theme="1"/>
        <rFont val="Calibri"/>
        <family val="2"/>
        <scheme val="minor"/>
      </rPr>
      <t>Driver B</t>
    </r>
    <r>
      <rPr>
        <sz val="11"/>
        <color theme="1"/>
        <rFont val="Calibri"/>
        <family val="2"/>
        <scheme val="minor"/>
      </rPr>
      <t xml:space="preserve"> regarding engine shut-off protocols to address the severe idling issues.</t>
    </r>
  </si>
  <si>
    <r>
      <rPr>
        <b/>
        <sz val="11"/>
        <color theme="1"/>
        <rFont val="Calibri"/>
        <family val="2"/>
        <scheme val="minor"/>
      </rPr>
      <t>Targeted Vehicle Maintenance / Auditing:</t>
    </r>
    <r>
      <rPr>
        <sz val="11"/>
        <color theme="1"/>
        <rFont val="Calibri"/>
        <family val="2"/>
        <scheme val="minor"/>
      </rPr>
      <t xml:space="preserve"> Route </t>
    </r>
    <r>
      <rPr>
        <b/>
        <sz val="11"/>
        <color theme="1"/>
        <rFont val="Calibri"/>
        <family val="2"/>
        <scheme val="minor"/>
      </rPr>
      <t>VH-001 and VH-007</t>
    </r>
    <r>
      <rPr>
        <sz val="11"/>
        <color theme="1"/>
        <rFont val="Calibri"/>
        <family val="2"/>
        <scheme val="minor"/>
      </rPr>
      <t xml:space="preserve"> immediately to the maintenance depot. </t>
    </r>
    <r>
      <rPr>
        <b/>
        <sz val="11"/>
        <color theme="1"/>
        <rFont val="Calibri"/>
        <family val="2"/>
        <scheme val="minor"/>
      </rPr>
      <t>VH-001</t>
    </r>
    <r>
      <rPr>
        <sz val="11"/>
        <color theme="1"/>
        <rFont val="Calibri"/>
        <family val="2"/>
        <scheme val="minor"/>
      </rPr>
      <t xml:space="preserve"> needs a fuel tank/line check for leaks, and </t>
    </r>
    <r>
      <rPr>
        <b/>
        <sz val="11"/>
        <color theme="1"/>
        <rFont val="Calibri"/>
        <family val="2"/>
        <scheme val="minor"/>
      </rPr>
      <t>VH-007</t>
    </r>
    <r>
      <rPr>
        <sz val="11"/>
        <color theme="1"/>
        <rFont val="Calibri"/>
        <family val="2"/>
        <scheme val="minor"/>
      </rPr>
      <t xml:space="preserve"> requires a GPS tracking hardware inspection due to its chronically poor route compliance.</t>
    </r>
  </si>
  <si>
    <t>Fuel Efficient</t>
  </si>
  <si>
    <t>(blank)</t>
  </si>
  <si>
    <t>VH ID</t>
  </si>
  <si>
    <r>
      <t>By evaluating total distance against total fuel consumed per vehicle,</t>
    </r>
    <r>
      <rPr>
        <b/>
        <sz val="11"/>
        <color theme="1"/>
        <rFont val="Calibri"/>
        <family val="2"/>
        <scheme val="minor"/>
      </rPr>
      <t xml:space="preserve"> VH-009 and VH-001</t>
    </r>
    <r>
      <rPr>
        <sz val="11"/>
        <color theme="1"/>
        <rFont val="Calibri"/>
        <family val="2"/>
        <scheme val="minor"/>
      </rPr>
      <t xml:space="preserve"> were identified as the least fuel-efficient assets in the fleet, both performing below 3.85 KM/L.</t>
    </r>
  </si>
  <si>
    <t>Average of Idle_Time_Hrs</t>
  </si>
  <si>
    <r>
      <rPr>
        <sz val="11"/>
        <color theme="1"/>
        <rFont val="Calibri"/>
        <family val="2"/>
        <scheme val="minor"/>
      </rPr>
      <t xml:space="preserve">Against a fleet average of </t>
    </r>
    <r>
      <rPr>
        <b/>
        <sz val="11"/>
        <color theme="1"/>
        <rFont val="Calibri"/>
        <family val="2"/>
        <scheme val="minor"/>
      </rPr>
      <t>2.36 hours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Driver R</t>
    </r>
    <r>
      <rPr>
        <sz val="11"/>
        <color theme="1"/>
        <rFont val="Calibri"/>
        <family val="2"/>
        <scheme val="minor"/>
      </rPr>
      <t xml:space="preserve"> logs the highest unusual idle time at </t>
    </r>
    <r>
      <rPr>
        <b/>
        <sz val="11"/>
        <color theme="1"/>
        <rFont val="Calibri"/>
        <family val="2"/>
        <scheme val="minor"/>
      </rPr>
      <t>2.66 hours per day</t>
    </r>
    <r>
      <rPr>
        <sz val="11"/>
        <color theme="1"/>
        <rFont val="Calibri"/>
        <family val="2"/>
        <scheme val="minor"/>
      </rPr>
      <t xml:space="preserve">, followed closely by </t>
    </r>
    <r>
      <rPr>
        <b/>
        <sz val="11"/>
        <color theme="1"/>
        <rFont val="Calibri"/>
        <family val="2"/>
        <scheme val="minor"/>
      </rPr>
      <t>Driver A (2.54 hrs)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Driver L (2.53 hrs)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Driver J (2.51 hrs)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Driver K (2.50 hrs).</t>
    </r>
    <r>
      <rPr>
        <sz val="11"/>
        <color theme="1"/>
        <rFont val="Calibri"/>
        <family val="2"/>
        <scheme val="minor"/>
      </rPr>
      <t xml:space="preserve"> These five operators consistently exceed fleet benchmarks and should be targeted for fuel-saving behavior training.</t>
    </r>
  </si>
  <si>
    <t>Column Labels</t>
  </si>
  <si>
    <t>Average of Route_Compliance_Pct</t>
  </si>
  <si>
    <r>
      <t xml:space="preserve">Against a fleet average baseline of </t>
    </r>
    <r>
      <rPr>
        <b/>
        <sz val="11"/>
        <color theme="1"/>
        <rFont val="Calibri"/>
        <family val="2"/>
        <scheme val="minor"/>
      </rPr>
      <t>91.83%</t>
    </r>
    <r>
      <rPr>
        <sz val="11"/>
        <color theme="1"/>
        <rFont val="Calibri"/>
        <family val="2"/>
        <scheme val="minor"/>
      </rPr>
      <t xml:space="preserve">, the analysis reveals that </t>
    </r>
    <r>
      <rPr>
        <b/>
        <sz val="11"/>
        <color theme="1"/>
        <rFont val="Calibri"/>
        <family val="2"/>
        <scheme val="minor"/>
      </rPr>
      <t>VH-012</t>
    </r>
    <r>
      <rPr>
        <sz val="11"/>
        <color theme="1"/>
        <rFont val="Calibri"/>
        <family val="2"/>
        <scheme val="minor"/>
      </rPr>
      <t xml:space="preserve"> has the poorest route compliance at a low </t>
    </r>
    <r>
      <rPr>
        <b/>
        <sz val="11"/>
        <color theme="1"/>
        <rFont val="Calibri"/>
        <family val="2"/>
        <scheme val="minor"/>
      </rPr>
      <t>89.98%</t>
    </r>
    <r>
      <rPr>
        <sz val="11"/>
        <color theme="1"/>
        <rFont val="Calibri"/>
        <family val="2"/>
        <scheme val="minor"/>
      </rPr>
      <t xml:space="preserve">, followed closely by </t>
    </r>
    <r>
      <rPr>
        <b/>
        <sz val="11"/>
        <color theme="1"/>
        <rFont val="Calibri"/>
        <family val="2"/>
        <scheme val="minor"/>
      </rPr>
      <t>VH-001 91.19%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VH-004 91.52%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VH-019 91.87%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VH-003 92.11%</t>
    </r>
    <r>
      <rPr>
        <sz val="11"/>
        <color theme="1"/>
        <rFont val="Calibri"/>
        <family val="2"/>
        <scheme val="minor"/>
      </rPr>
      <t>. These five assets fall below the company operational baseline and require immediate route audit or driver coaching.</t>
    </r>
  </si>
  <si>
    <t>Hour</t>
  </si>
  <si>
    <t>Count of Quantity_L</t>
  </si>
  <si>
    <t>Average of Quantity_L</t>
  </si>
  <si>
    <t>Max of Quantity_L</t>
  </si>
  <si>
    <t>Que 1</t>
  </si>
  <si>
    <t>Identify suspicious fuel drop patterns</t>
  </si>
  <si>
    <t>Que 2</t>
  </si>
  <si>
    <t>Find fuel drops during unusual hours.</t>
  </si>
  <si>
    <t>Fuel Drop Incidents</t>
  </si>
  <si>
    <t>VH-005, VH-006, and VH-012 are the top repeat offenders with 9 fuel-drop incidents each, followed closely by VH-007 (8 incidents) and VH-001 (7 incidents). This repeated pattern indicates severe physical tank leaks or chronic fuel theft on these specific vehicles.</t>
  </si>
  <si>
    <t>Answer:</t>
  </si>
  <si>
    <t>Que 3</t>
  </si>
  <si>
    <t>Identify vehicles with repeated fuel-drop incidents.</t>
  </si>
  <si>
    <t>Vehicle ID</t>
  </si>
  <si>
    <t>Fuel Drop Count</t>
  </si>
  <si>
    <t>Route Compliance %</t>
  </si>
  <si>
    <t>Diagnosis (Theft vs. Leakage)</t>
  </si>
  <si>
    <t>Potential Mechanical Leakage</t>
  </si>
  <si>
    <t>High-Risk Theft Suspect</t>
  </si>
  <si>
    <t>We use 92.53% because it is the average route compliance for the entire fleet. It acts as our dividing line</t>
  </si>
  <si>
    <r>
      <rPr>
        <b/>
        <sz val="11"/>
        <color theme="1"/>
        <rFont val="Calibri"/>
        <family val="2"/>
        <scheme val="minor"/>
      </rPr>
      <t>Below 92.53%</t>
    </r>
    <r>
      <rPr>
        <sz val="11"/>
        <color theme="1"/>
        <rFont val="Calibri"/>
        <family val="2"/>
        <scheme val="minor"/>
      </rPr>
      <t xml:space="preserve"> = Theft Suspects: These vehicles are leaving their assigned routes and losing fuel, which points to off-route fuel siphoning.</t>
    </r>
  </si>
  <si>
    <r>
      <rPr>
        <b/>
        <sz val="11"/>
        <color theme="1"/>
        <rFont val="Calibri"/>
        <family val="2"/>
        <scheme val="minor"/>
      </rPr>
      <t>Above 92.53%</t>
    </r>
    <r>
      <rPr>
        <sz val="11"/>
        <color theme="1"/>
        <rFont val="Calibri"/>
        <family val="2"/>
        <scheme val="minor"/>
      </rPr>
      <t xml:space="preserve"> = Leakage Suspects: These vehicles are following their routes perfectly but are still losing fuel, pointing to a physical tank leak or mechanical issue.</t>
    </r>
  </si>
  <si>
    <t>Why the Baseline is 92.53%</t>
  </si>
  <si>
    <t>Que 5</t>
  </si>
  <si>
    <t>Recommended actions to reduce fuel losses</t>
  </si>
  <si>
    <t>Ans:</t>
  </si>
  <si>
    <t>To systematically mitigate the identified fuel losses, the fleet should execute a dual-track strategy targeting both security and maintenance</t>
  </si>
  <si>
    <r>
      <rPr>
        <b/>
        <sz val="11"/>
        <color theme="1"/>
        <rFont val="Calibri"/>
        <family val="2"/>
        <scheme val="minor"/>
      </rPr>
      <t>For Theft (Below 92.53%)</t>
    </r>
    <r>
      <rPr>
        <sz val="11"/>
        <color theme="1"/>
        <rFont val="Calibri"/>
        <family val="2"/>
        <scheme val="minor"/>
      </rPr>
      <t>: Set up real-time geofencing alerts and install smart-locking fuel caps on VH-012 and VH-001 to block off-route siphoning.</t>
    </r>
  </si>
  <si>
    <r>
      <rPr>
        <b/>
        <sz val="11"/>
        <color theme="1"/>
        <rFont val="Calibri"/>
        <family val="2"/>
        <scheme val="minor"/>
      </rPr>
      <t>For Leakage (Above 92.53%)</t>
    </r>
    <r>
      <rPr>
        <sz val="11"/>
        <color theme="1"/>
        <rFont val="Calibri"/>
        <family val="2"/>
        <scheme val="minor"/>
      </rPr>
      <t>: Send VH-005 and VH-007 for immediate physical tank pressure tests to fix hardware leaks.</t>
    </r>
  </si>
  <si>
    <r>
      <rPr>
        <b/>
        <sz val="11"/>
        <color theme="1"/>
        <rFont val="Calibri"/>
        <family val="2"/>
        <scheme val="minor"/>
      </rPr>
      <t>Night Security</t>
    </r>
    <r>
      <rPr>
        <sz val="11"/>
        <color theme="1"/>
        <rFont val="Calibri"/>
        <family val="2"/>
        <scheme val="minor"/>
      </rPr>
      <t>: Turn on instant security alerts for any fuel drops logged during the high-risk night window (10:00 PM – 5:00 AM).</t>
    </r>
  </si>
  <si>
    <t>→</t>
  </si>
  <si>
    <r>
      <rPr>
        <b/>
        <sz val="11"/>
        <color theme="1"/>
        <rFont val="Calibri"/>
        <family val="2"/>
        <scheme val="minor"/>
      </rPr>
      <t>Mechanical Leakage Case (VH-005):</t>
    </r>
    <r>
      <rPr>
        <sz val="11"/>
        <color theme="1"/>
        <rFont val="Calibri"/>
        <family val="2"/>
        <scheme val="minor"/>
      </rPr>
      <t xml:space="preserve"> Suffers the same extreme drop frequency (9 incidents) but maintains highly stable, compliant routing, indicating a physical tank leak.</t>
    </r>
  </si>
  <si>
    <r>
      <rPr>
        <b/>
        <sz val="11"/>
        <color theme="1"/>
        <rFont val="Calibri"/>
        <family val="2"/>
        <scheme val="minor"/>
      </rPr>
      <t>Fuel Theft Case (VH-012)</t>
    </r>
    <r>
      <rPr>
        <sz val="11"/>
        <color theme="1"/>
        <rFont val="Calibri"/>
        <family val="2"/>
        <scheme val="minor"/>
      </rPr>
      <t>: Suffers 9 severe fuel drops combined with the fleet's worst route compliance 89.98%, proving off-route siphoning.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</si>
</sst>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yyyy\-mm\-dd\ hh:mm:ss"/>
    <numFmt numFmtId="165" formatCode="#,##0.0"/>
    <numFmt numFmtId="166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4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1" fillId="0" borderId="10" xfId="0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166" fontId="0" fillId="0" borderId="1" xfId="0" applyNumberFormat="1" applyBorder="1"/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" fontId="0" fillId="0" borderId="1" xfId="1" applyNumberFormat="1" applyFon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0" borderId="8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0" fillId="0" borderId="8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0" xfId="0" applyNumberFormat="1"/>
    <xf numFmtId="9" fontId="0" fillId="0" borderId="0" xfId="0" applyNumberFormat="1"/>
    <xf numFmtId="2" fontId="0" fillId="0" borderId="1" xfId="0" applyNumberFormat="1" applyBorder="1"/>
    <xf numFmtId="0" fontId="3" fillId="0" borderId="0" xfId="0" applyFont="1" applyAlignment="1">
      <alignment horizontal="right"/>
    </xf>
    <xf numFmtId="0" fontId="8" fillId="0" borderId="1" xfId="0" applyFont="1" applyBorder="1" applyAlignment="1">
      <alignment horizontal="left" vertical="center" wrapText="1"/>
    </xf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27">
    <dxf>
      <numFmt numFmtId="166" formatCode="0.000"/>
    </dxf>
    <dxf>
      <numFmt numFmtId="2" formatCode="0.00"/>
    </dxf>
    <dxf>
      <numFmt numFmtId="176" formatCode="0.0000"/>
    </dxf>
    <dxf>
      <numFmt numFmtId="175" formatCode="0.00000"/>
    </dxf>
    <dxf>
      <numFmt numFmtId="174" formatCode="0.000000"/>
    </dxf>
    <dxf>
      <numFmt numFmtId="173" formatCode="0.0000000"/>
    </dxf>
    <dxf>
      <numFmt numFmtId="166" formatCode="0.000"/>
    </dxf>
    <dxf>
      <numFmt numFmtId="2" formatCode="0.00"/>
    </dxf>
    <dxf>
      <numFmt numFmtId="176" formatCode="0.0000"/>
    </dxf>
    <dxf>
      <numFmt numFmtId="175" formatCode="0.00000"/>
    </dxf>
    <dxf>
      <numFmt numFmtId="174" formatCode="0.000000"/>
    </dxf>
    <dxf>
      <numFmt numFmtId="173" formatCode="0.00000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numFmt numFmtId="2" formatCode="0.00"/>
    </dxf>
    <dxf>
      <alignment wrapText="1"/>
    </dxf>
    <dxf>
      <numFmt numFmtId="165" formatCode="#,##0.0"/>
    </dxf>
    <dxf>
      <alignment wrapText="1"/>
    </dxf>
    <dxf>
      <numFmt numFmtId="165" formatCode="#,##0.0"/>
    </dxf>
    <dxf>
      <numFmt numFmtId="2" formatCode="0.00"/>
    </dxf>
  </dxfs>
  <tableStyles count="1" defaultTableStyle="TableStyleMedium9" defaultPivotStyle="PivotStyleLight16">
    <tableStyle name="Invisible" pivot="0" table="0" count="0" xr9:uid="{0043A56C-D6F4-4299-A91B-2559EFFD4F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[TechScoutLabs_DataAnalyst_Practical_Dataset_Enhanced.xlsx]Task 4 Fuel Investigation!PivotTable13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 Fuel Investigation'!$I$16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4 Fuel Investigation'!$H$17:$H$41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'Task 4 Fuel Investigation'!$I$17:$I$41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  <c:pt idx="20">
                  <c:v>4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A-4E25-BFD6-95037CFF6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043952"/>
        <c:axId val="2006533584"/>
      </c:barChart>
      <c:catAx>
        <c:axId val="52204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533584"/>
        <c:crosses val="autoZero"/>
        <c:auto val="1"/>
        <c:lblAlgn val="ctr"/>
        <c:lblOffset val="100"/>
        <c:noMultiLvlLbl val="0"/>
      </c:catAx>
      <c:valAx>
        <c:axId val="200653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4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12</xdr:row>
      <xdr:rowOff>91440</xdr:rowOff>
    </xdr:from>
    <xdr:to>
      <xdr:col>13</xdr:col>
      <xdr:colOff>266700</xdr:colOff>
      <xdr:row>24</xdr:row>
      <xdr:rowOff>106680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5776C9-727C-D32C-3D62-A2C9E81D1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idscape Solutions" refreshedDate="46222.058551504633" createdVersion="8" refreshedVersion="8" minRefreshableVersion="3" recordCount="811" xr:uid="{535C48F6-9B29-4E72-B1F8-3A76C303E193}">
  <cacheSource type="worksheet">
    <worksheetSource ref="A1:J1048576" sheet="Fleet_Data"/>
  </cacheSource>
  <cacheFields count="10">
    <cacheField name="Vehicle_ID" numFmtId="0">
      <sharedItems containsBlank="1" count="21">
        <s v="VH-001"/>
        <s v="VH-002"/>
        <s v="VH-003"/>
        <s v="VH-004"/>
        <s v="VH-005"/>
        <s v="VH-006"/>
        <s v="VH-007"/>
        <s v="VH-008"/>
        <s v="VH-009"/>
        <s v="VH-010"/>
        <s v="VH-011"/>
        <s v="VH-012"/>
        <s v="VH-013"/>
        <s v="VH-014"/>
        <s v="VH-015"/>
        <s v="VH-016"/>
        <s v="VH-017"/>
        <s v="VH-018"/>
        <s v="VH-019"/>
        <s v="VH-020"/>
        <m/>
      </sharedItems>
    </cacheField>
    <cacheField name="Driver_Name" numFmtId="0">
      <sharedItems containsBlank="1" count="21">
        <s v="Driver A"/>
        <s v="Driver B"/>
        <s v="Driver C"/>
        <s v="Driver D"/>
        <s v="Driver E"/>
        <s v="Driver F"/>
        <s v="Driver G"/>
        <s v="Driver H"/>
        <s v="Driver I"/>
        <s v="Driver J"/>
        <s v="Driver K"/>
        <s v="Driver L"/>
        <s v="Driver M"/>
        <s v="Driver N"/>
        <s v="Driver O"/>
        <s v="Driver P"/>
        <s v="Driver Q"/>
        <s v="Driver R"/>
        <s v="Driver S"/>
        <s v="Driver T"/>
        <m/>
      </sharedItems>
    </cacheField>
    <cacheField name="Date" numFmtId="0">
      <sharedItems containsNonDate="0" containsDate="1" containsString="0" containsBlank="1" minDate="2026-01-01T00:00:00" maxDate="2026-04-01T00:00:00"/>
    </cacheField>
    <cacheField name="Distance_KM" numFmtId="0">
      <sharedItems containsString="0" containsBlank="1" containsNumber="1" minValue="80.3" maxValue="449.9"/>
    </cacheField>
    <cacheField name="Fuel_Consumed_L" numFmtId="0">
      <sharedItems containsString="0" containsBlank="1" containsNumber="1" minValue="15" maxValue="155.19999999999999"/>
    </cacheField>
    <cacheField name="Fuel Efficient" numFmtId="0">
      <sharedItems containsBlank="1" containsMixedTypes="1" containsNumber="1" minValue="2.0833333333333335" maxValue="26.666666666666668"/>
    </cacheField>
    <cacheField name="Idle_Time_Hrs" numFmtId="0">
      <sharedItems containsString="0" containsBlank="1" containsNumber="1" minValue="0.2" maxValue="12"/>
    </cacheField>
    <cacheField name="Trips" numFmtId="0">
      <sharedItems containsString="0" containsBlank="1" containsNumber="1" containsInteger="1" minValue="1" maxValue="8"/>
    </cacheField>
    <cacheField name="Average_Speed_KMH" numFmtId="0">
      <sharedItems containsString="0" containsBlank="1" containsNumber="1" minValue="20" maxValue="75"/>
    </cacheField>
    <cacheField name="Route_Compliance_Pct" numFmtId="0">
      <sharedItems containsString="0" containsBlank="1" containsNumber="1" minValue="4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idscape Solutions" refreshedDate="46222.116379282408" createdVersion="8" refreshedVersion="8" minRefreshableVersion="3" recordCount="303" xr:uid="{5E10FF31-213E-4032-91DD-925EF2F39F3C}">
  <cacheSource type="worksheet">
    <worksheetSource ref="A1:F304" sheet="Task 4 Fuel Investigation"/>
  </cacheSource>
  <cacheFields count="6">
    <cacheField name="Vehicle_ID" numFmtId="0">
      <sharedItems count="20">
        <s v="VH-001"/>
        <s v="VH-002"/>
        <s v="VH-003"/>
        <s v="VH-004"/>
        <s v="VH-005"/>
        <s v="VH-006"/>
        <s v="VH-007"/>
        <s v="VH-008"/>
        <s v="VH-009"/>
        <s v="VH-010"/>
        <s v="VH-011"/>
        <s v="VH-012"/>
        <s v="VH-013"/>
        <s v="VH-014"/>
        <s v="VH-015"/>
        <s v="VH-016"/>
        <s v="VH-017"/>
        <s v="VH-018"/>
        <s v="VH-019"/>
        <s v="VH-020"/>
      </sharedItems>
    </cacheField>
    <cacheField name="Timestamp" numFmtId="164">
      <sharedItems containsSemiMixedTypes="0" containsNonDate="0" containsDate="1" containsString="0" minDate="2026-01-02T17:24:00" maxDate="2026-03-31T09:59:00"/>
    </cacheField>
    <cacheField name="Hour" numFmtId="2">
      <sharedItems containsSemiMixedTypes="0" containsString="0" containsNumber="1" containsInteger="1" minValue="0" maxValue="23" count="24">
        <n v="14"/>
        <n v="22"/>
        <n v="21"/>
        <n v="20"/>
        <n v="2"/>
        <n v="3"/>
        <n v="15"/>
        <n v="4"/>
        <n v="9"/>
        <n v="1"/>
        <n v="12"/>
        <n v="16"/>
        <n v="19"/>
        <n v="11"/>
        <n v="7"/>
        <n v="0"/>
        <n v="8"/>
        <n v="5"/>
        <n v="17"/>
        <n v="6"/>
        <n v="10"/>
        <n v="18"/>
        <n v="13"/>
        <n v="23"/>
      </sharedItems>
    </cacheField>
    <cacheField name="Event_Type" numFmtId="0">
      <sharedItems count="4">
        <s v="Consumption Alert"/>
        <s v="Fuel Drop"/>
        <s v="Fuel Fill"/>
        <s v="Refuel"/>
      </sharedItems>
    </cacheField>
    <cacheField name="Quantity_L" numFmtId="0">
      <sharedItems containsSemiMixedTypes="0" containsString="0" containsNumber="1" minValue="5.2" maxValue="149.69999999999999"/>
    </cacheField>
    <cacheField name="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idscape Solutions" refreshedDate="46222.398327893519" createdVersion="8" refreshedVersion="8" minRefreshableVersion="3" recordCount="304" xr:uid="{81E8F41E-9B21-419D-A732-F1A7F9C823D2}">
  <cacheSource type="worksheet">
    <worksheetSource ref="A1:F1048576" sheet="Task 4 Fuel Investigation"/>
  </cacheSource>
  <cacheFields count="6">
    <cacheField name="Vehicle_ID" numFmtId="0">
      <sharedItems containsBlank="1" count="21">
        <s v="VH-001"/>
        <s v="VH-002"/>
        <s v="VH-003"/>
        <s v="VH-004"/>
        <s v="VH-005"/>
        <s v="VH-006"/>
        <s v="VH-007"/>
        <s v="VH-008"/>
        <s v="VH-009"/>
        <s v="VH-010"/>
        <s v="VH-011"/>
        <s v="VH-012"/>
        <s v="VH-013"/>
        <s v="VH-014"/>
        <s v="VH-015"/>
        <s v="VH-016"/>
        <s v="VH-017"/>
        <s v="VH-018"/>
        <s v="VH-019"/>
        <s v="VH-020"/>
        <m/>
      </sharedItems>
    </cacheField>
    <cacheField name="Timestamp" numFmtId="0">
      <sharedItems containsNonDate="0" containsDate="1" containsString="0" containsBlank="1" minDate="2026-01-02T17:24:00" maxDate="2026-03-31T09:59:00"/>
    </cacheField>
    <cacheField name="Hour" numFmtId="0">
      <sharedItems containsString="0" containsBlank="1" containsNumber="1" containsInteger="1" minValue="0" maxValue="23"/>
    </cacheField>
    <cacheField name="Event_Type" numFmtId="0">
      <sharedItems containsBlank="1" count="5">
        <s v="Consumption Alert"/>
        <s v="Fuel Drop"/>
        <s v="Fuel Fill"/>
        <s v="Refuel"/>
        <m/>
      </sharedItems>
    </cacheField>
    <cacheField name="Quantity_L" numFmtId="0">
      <sharedItems containsString="0" containsBlank="1" containsNumber="1" minValue="5.2" maxValue="149.69999999999999"/>
    </cacheField>
    <cacheField name="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idscape Solutions" refreshedDate="46222.399417245368" createdVersion="8" refreshedVersion="8" minRefreshableVersion="3" recordCount="810" xr:uid="{D3D243B5-5128-4393-A30F-5D118FA5C5CB}">
  <cacheSource type="worksheet">
    <worksheetSource ref="A1:J811" sheet="Fleet_Data"/>
  </cacheSource>
  <cacheFields count="10">
    <cacheField name="Vehicle_ID" numFmtId="0">
      <sharedItems count="20">
        <s v="VH-001"/>
        <s v="VH-002"/>
        <s v="VH-003"/>
        <s v="VH-004"/>
        <s v="VH-005"/>
        <s v="VH-006"/>
        <s v="VH-007"/>
        <s v="VH-008"/>
        <s v="VH-009"/>
        <s v="VH-010"/>
        <s v="VH-011"/>
        <s v="VH-012"/>
        <s v="VH-013"/>
        <s v="VH-014"/>
        <s v="VH-015"/>
        <s v="VH-016"/>
        <s v="VH-017"/>
        <s v="VH-018"/>
        <s v="VH-019"/>
        <s v="VH-020"/>
      </sharedItems>
    </cacheField>
    <cacheField name="Driver_Name" numFmtId="0">
      <sharedItems/>
    </cacheField>
    <cacheField name="Date" numFmtId="164">
      <sharedItems containsSemiMixedTypes="0" containsNonDate="0" containsDate="1" containsString="0" minDate="2026-01-01T00:00:00" maxDate="2026-04-01T00:00:00"/>
    </cacheField>
    <cacheField name="Distance_KM" numFmtId="0">
      <sharedItems containsSemiMixedTypes="0" containsString="0" containsNumber="1" minValue="80.3" maxValue="449.9"/>
    </cacheField>
    <cacheField name="Fuel_Consumed_L" numFmtId="0">
      <sharedItems containsString="0" containsBlank="1" containsNumber="1" minValue="15" maxValue="155.19999999999999"/>
    </cacheField>
    <cacheField name="Fuel Efficient" numFmtId="2">
      <sharedItems containsSemiMixedTypes="0" containsString="0" containsNumber="1" minValue="0" maxValue="26.666666666666668"/>
    </cacheField>
    <cacheField name="Idle_Time_Hrs" numFmtId="0">
      <sharedItems containsString="0" containsBlank="1" containsNumber="1" minValue="0.2" maxValue="12"/>
    </cacheField>
    <cacheField name="Trips" numFmtId="0">
      <sharedItems containsSemiMixedTypes="0" containsString="0" containsNumber="1" containsInteger="1" minValue="1" maxValue="8"/>
    </cacheField>
    <cacheField name="Average_Speed_KMH" numFmtId="0">
      <sharedItems containsSemiMixedTypes="0" containsString="0" containsNumber="1" minValue="20" maxValue="75"/>
    </cacheField>
    <cacheField name="Route_Compliance_Pct" numFmtId="0">
      <sharedItems containsString="0" containsBlank="1" containsNumber="1" minValue="4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">
  <r>
    <x v="0"/>
    <x v="0"/>
    <d v="2026-03-29T00:00:00"/>
    <n v="346.7"/>
    <n v="74.7"/>
    <n v="4.6412315930388219"/>
    <n v="2.5"/>
    <n v="5"/>
    <n v="64.599999999999994"/>
    <n v="90.1"/>
  </r>
  <r>
    <x v="0"/>
    <x v="0"/>
    <d v="2026-01-14T00:00:00"/>
    <n v="368"/>
    <n v="108.5"/>
    <n v="3.3917050691244239"/>
    <n v="3.7"/>
    <n v="8"/>
    <n v="32.299999999999997"/>
    <n v="88.7"/>
  </r>
  <r>
    <x v="0"/>
    <x v="0"/>
    <d v="2026-03-10T00:00:00"/>
    <n v="126.8"/>
    <n v="43.4"/>
    <n v="2.9216589861751152"/>
    <n v="0.4"/>
    <n v="5"/>
    <n v="61.4"/>
    <n v="86.9"/>
  </r>
  <r>
    <x v="0"/>
    <x v="0"/>
    <d v="2026-03-12T00:00:00"/>
    <n v="231"/>
    <n v="67.8"/>
    <n v="3.4070796460176993"/>
    <n v="3.8"/>
    <n v="2"/>
    <n v="50.8"/>
    <n v="86.8"/>
  </r>
  <r>
    <x v="0"/>
    <x v="0"/>
    <d v="2026-02-15T00:00:00"/>
    <n v="372.3"/>
    <n v="108.2"/>
    <n v="3.4408502772643255"/>
    <n v="1.6"/>
    <n v="3"/>
    <n v="41.9"/>
    <n v="86.9"/>
  </r>
  <r>
    <x v="0"/>
    <x v="0"/>
    <d v="2026-01-12T00:00:00"/>
    <n v="356.1"/>
    <n v="105.3"/>
    <n v="3.3817663817663819"/>
    <n v="2"/>
    <n v="6"/>
    <n v="37.1"/>
    <n v="89.7"/>
  </r>
  <r>
    <x v="0"/>
    <x v="0"/>
    <d v="2026-02-23T00:00:00"/>
    <n v="99.7"/>
    <n v="24"/>
    <n v="4.1541666666666668"/>
    <n v="1.2"/>
    <n v="2"/>
    <n v="46.9"/>
    <n v="85.4"/>
  </r>
  <r>
    <x v="0"/>
    <x v="0"/>
    <d v="2026-02-17T00:00:00"/>
    <n v="202.6"/>
    <n v="65.400000000000006"/>
    <n v="3.0978593272171251"/>
    <n v="2"/>
    <n v="5"/>
    <n v="65.900000000000006"/>
    <n v="95.9"/>
  </r>
  <r>
    <x v="0"/>
    <x v="0"/>
    <d v="2026-03-18T00:00:00"/>
    <n v="255.6"/>
    <n v="47.2"/>
    <n v="5.4152542372881349"/>
    <n v="3.6"/>
    <n v="4"/>
    <n v="62.5"/>
    <n v="93.8"/>
  </r>
  <r>
    <x v="0"/>
    <x v="0"/>
    <d v="2026-03-12T00:00:00"/>
    <n v="441.8"/>
    <n v="136.9"/>
    <n v="3.2271731190650108"/>
    <n v="3"/>
    <n v="8"/>
    <n v="51.5"/>
    <n v="88"/>
  </r>
  <r>
    <x v="0"/>
    <x v="0"/>
    <d v="2026-02-13T00:00:00"/>
    <n v="372.6"/>
    <n v="86"/>
    <n v="4.3325581395348838"/>
    <n v="3.5"/>
    <n v="3"/>
    <n v="57.5"/>
    <n v="94.6"/>
  </r>
  <r>
    <x v="0"/>
    <x v="0"/>
    <d v="2026-02-03T00:00:00"/>
    <n v="321.89999999999998"/>
    <n v="68.900000000000006"/>
    <n v="4.6719883889695204"/>
    <n v="0.5"/>
    <n v="2"/>
    <n v="50.9"/>
    <n v="87.4"/>
  </r>
  <r>
    <x v="0"/>
    <x v="0"/>
    <d v="2026-02-20T00:00:00"/>
    <n v="174.1"/>
    <n v="62"/>
    <n v="2.8080645161290323"/>
    <n v="1.1000000000000001"/>
    <n v="2"/>
    <n v="32"/>
    <n v="90.2"/>
  </r>
  <r>
    <x v="0"/>
    <x v="0"/>
    <d v="2026-01-31T00:00:00"/>
    <n v="156.30000000000001"/>
    <n v="50.9"/>
    <n v="3.0707269155206292"/>
    <n v="0.3"/>
    <n v="1"/>
    <n v="41"/>
    <n v="85.7"/>
  </r>
  <r>
    <x v="0"/>
    <x v="0"/>
    <d v="2026-02-20T00:00:00"/>
    <n v="202.9"/>
    <n v="45.3"/>
    <n v="4.4790286975717439"/>
    <n v="3.7"/>
    <n v="6"/>
    <n v="49.8"/>
    <n v="91.5"/>
  </r>
  <r>
    <x v="0"/>
    <x v="0"/>
    <d v="2026-01-28T00:00:00"/>
    <n v="156.1"/>
    <n v="32.299999999999997"/>
    <n v="4.8328173374613002"/>
    <n v="3.7"/>
    <n v="2"/>
    <n v="56"/>
    <n v="97"/>
  </r>
  <r>
    <x v="0"/>
    <x v="0"/>
    <d v="2026-03-04T00:00:00"/>
    <n v="130.5"/>
    <n v="26.1"/>
    <n v="5"/>
    <n v="4.3"/>
    <n v="8"/>
    <n v="48.4"/>
    <n v="92.4"/>
  </r>
  <r>
    <x v="0"/>
    <x v="0"/>
    <d v="2026-02-17T00:00:00"/>
    <n v="154.19999999999999"/>
    <n v="35.700000000000003"/>
    <n v="4.3193277310924367"/>
    <n v="1.5"/>
    <n v="4"/>
    <n v="50.9"/>
    <n v="93.9"/>
  </r>
  <r>
    <x v="0"/>
    <x v="0"/>
    <d v="2026-03-28T00:00:00"/>
    <n v="274.2"/>
    <n v="57"/>
    <n v="4.8105263157894731"/>
    <n v="3.3"/>
    <n v="4"/>
    <n v="74"/>
    <n v="95"/>
  </r>
  <r>
    <x v="0"/>
    <x v="0"/>
    <d v="2026-01-15T00:00:00"/>
    <n v="327.5"/>
    <n v="81.8"/>
    <n v="4.0036674816625917"/>
    <n v="4.0999999999999996"/>
    <n v="4"/>
    <n v="73.2"/>
    <n v="95.2"/>
  </r>
  <r>
    <x v="0"/>
    <x v="0"/>
    <d v="2026-02-19T00:00:00"/>
    <n v="329.1"/>
    <n v="77.5"/>
    <n v="4.2464516129032264"/>
    <n v="3"/>
    <n v="2"/>
    <n v="64"/>
    <n v="93.8"/>
  </r>
  <r>
    <x v="0"/>
    <x v="0"/>
    <d v="2026-01-12T00:00:00"/>
    <n v="384.6"/>
    <n v="94.4"/>
    <n v="4.0741525423728815"/>
    <n v="2.8"/>
    <n v="2"/>
    <n v="32.9"/>
    <n v="88.3"/>
  </r>
  <r>
    <x v="0"/>
    <x v="0"/>
    <d v="2026-01-09T00:00:00"/>
    <n v="420.1"/>
    <n v="98.1"/>
    <n v="4.2823649337410812"/>
    <n v="3.3"/>
    <n v="6"/>
    <n v="45.6"/>
    <n v="97.2"/>
  </r>
  <r>
    <x v="0"/>
    <x v="0"/>
    <d v="2026-01-02T00:00:00"/>
    <n v="329.4"/>
    <n v="86.1"/>
    <n v="3.8257839721254356"/>
    <n v="0.6"/>
    <n v="6"/>
    <n v="57.6"/>
    <n v="88.9"/>
  </r>
  <r>
    <x v="0"/>
    <x v="0"/>
    <d v="2026-02-25T00:00:00"/>
    <n v="375.2"/>
    <n v="85"/>
    <n v="4.4141176470588235"/>
    <n v="3.6"/>
    <n v="6"/>
    <n v="38.5"/>
    <n v="98.2"/>
  </r>
  <r>
    <x v="0"/>
    <x v="0"/>
    <d v="2026-01-22T00:00:00"/>
    <n v="373.9"/>
    <n v="85.4"/>
    <n v="4.3782201405152223"/>
    <n v="1.9"/>
    <n v="4"/>
    <n v="30.4"/>
    <n v="85.6"/>
  </r>
  <r>
    <x v="0"/>
    <x v="0"/>
    <d v="2026-02-09T00:00:00"/>
    <n v="142.6"/>
    <n v="38.1"/>
    <n v="3.742782152230971"/>
    <n v="3.7"/>
    <n v="8"/>
    <n v="58"/>
    <n v="91.6"/>
  </r>
  <r>
    <x v="0"/>
    <x v="0"/>
    <d v="2026-01-06T00:00:00"/>
    <n v="171.5"/>
    <n v="40.5"/>
    <n v="4.2345679012345681"/>
    <n v="1.6"/>
    <n v="7"/>
    <n v="63.5"/>
    <n v="85.3"/>
  </r>
  <r>
    <x v="0"/>
    <x v="0"/>
    <d v="2026-02-28T00:00:00"/>
    <n v="264.10000000000002"/>
    <n v="63.7"/>
    <n v="4.1459968602825743"/>
    <n v="3.7"/>
    <n v="8"/>
    <n v="40.700000000000003"/>
    <n v="93.8"/>
  </r>
  <r>
    <x v="0"/>
    <x v="0"/>
    <d v="2026-01-16T00:00:00"/>
    <n v="88.9"/>
    <n v="19.8"/>
    <n v="4.4898989898989896"/>
    <n v="0.7"/>
    <n v="4"/>
    <n v="66"/>
    <n v="100"/>
  </r>
  <r>
    <x v="0"/>
    <x v="0"/>
    <d v="2026-02-13T00:00:00"/>
    <n v="443.9"/>
    <n v="98.8"/>
    <n v="4.4929149797570851"/>
    <n v="3.8"/>
    <n v="7"/>
    <n v="38.4"/>
    <n v="86.8"/>
  </r>
  <r>
    <x v="0"/>
    <x v="0"/>
    <d v="2026-03-02T00:00:00"/>
    <n v="414.2"/>
    <n v="141.1"/>
    <n v="2.9355067328136073"/>
    <n v="1.8"/>
    <n v="2"/>
    <n v="49.2"/>
    <n v="87.7"/>
  </r>
  <r>
    <x v="0"/>
    <x v="0"/>
    <d v="2026-01-19T00:00:00"/>
    <n v="324.5"/>
    <n v="80.7"/>
    <n v="4.0210656753407683"/>
    <n v="1.5"/>
    <n v="8"/>
    <n v="38.799999999999997"/>
    <n v="95.2"/>
  </r>
  <r>
    <x v="0"/>
    <x v="0"/>
    <d v="2026-01-05T00:00:00"/>
    <n v="325.89999999999998"/>
    <n v="92.6"/>
    <n v="3.5194384449244058"/>
    <n v="3.2"/>
    <n v="7"/>
    <n v="55.9"/>
    <n v="92.7"/>
  </r>
  <r>
    <x v="0"/>
    <x v="0"/>
    <d v="2026-01-23T00:00:00"/>
    <n v="314.10000000000002"/>
    <n v="59.9"/>
    <n v="5.2437395659432395"/>
    <n v="3.7"/>
    <n v="2"/>
    <n v="50.5"/>
    <n v="87.6"/>
  </r>
  <r>
    <x v="0"/>
    <x v="0"/>
    <d v="2026-02-07T00:00:00"/>
    <n v="150"/>
    <n v="52.5"/>
    <n v="2.8571428571428572"/>
    <n v="3.6"/>
    <n v="6"/>
    <n v="48.5"/>
    <n v="90.1"/>
  </r>
  <r>
    <x v="0"/>
    <x v="0"/>
    <d v="2026-01-01T00:00:00"/>
    <n v="250"/>
    <n v="120"/>
    <n v="2.0833333333333335"/>
    <n v="1.5"/>
    <n v="4"/>
    <n v="55"/>
    <n v="96"/>
  </r>
  <r>
    <x v="1"/>
    <x v="1"/>
    <d v="2026-01-30T00:00:00"/>
    <n v="384.1"/>
    <n v="77.2"/>
    <n v="4.9753886010362693"/>
    <n v="1.9"/>
    <n v="2"/>
    <n v="39.5"/>
    <n v="99.1"/>
  </r>
  <r>
    <x v="1"/>
    <x v="1"/>
    <d v="2026-03-16T00:00:00"/>
    <n v="352.2"/>
    <n v="118.8"/>
    <n v="2.9646464646464645"/>
    <n v="1.5"/>
    <n v="1"/>
    <n v="56.3"/>
    <n v="92.5"/>
  </r>
  <r>
    <x v="1"/>
    <x v="1"/>
    <d v="2026-01-14T00:00:00"/>
    <n v="300.7"/>
    <n v="80.5"/>
    <n v="3.7354037267080744"/>
    <n v="3.6"/>
    <n v="7"/>
    <n v="57.3"/>
    <n v="92.7"/>
  </r>
  <r>
    <x v="1"/>
    <x v="1"/>
    <d v="2026-03-03T00:00:00"/>
    <n v="393.5"/>
    <n v="99.6"/>
    <n v="3.9508032128514059"/>
    <n v="0.7"/>
    <n v="8"/>
    <n v="33.299999999999997"/>
    <n v="86.2"/>
  </r>
  <r>
    <x v="1"/>
    <x v="1"/>
    <d v="2026-02-25T00:00:00"/>
    <n v="86.9"/>
    <n v="16.399999999999999"/>
    <n v="5.298780487804879"/>
    <n v="3.9"/>
    <n v="7"/>
    <n v="55.8"/>
    <n v="95.6"/>
  </r>
  <r>
    <x v="1"/>
    <x v="1"/>
    <d v="2026-01-10T00:00:00"/>
    <n v="328.3"/>
    <n v="84.2"/>
    <n v="3.8990498812351544"/>
    <n v="2.4"/>
    <n v="3"/>
    <n v="72.900000000000006"/>
    <n v="87.1"/>
  </r>
  <r>
    <x v="1"/>
    <x v="1"/>
    <d v="2026-03-19T00:00:00"/>
    <n v="136.80000000000001"/>
    <n v="34.1"/>
    <n v="4.0117302052785924"/>
    <n v="1.8"/>
    <n v="8"/>
    <n v="64.3"/>
    <n v="93.6"/>
  </r>
  <r>
    <x v="1"/>
    <x v="1"/>
    <d v="2026-03-24T00:00:00"/>
    <n v="365.3"/>
    <n v="103.9"/>
    <n v="3.5158806544754571"/>
    <n v="1.1000000000000001"/>
    <n v="7"/>
    <n v="57.8"/>
    <n v="85.5"/>
  </r>
  <r>
    <x v="1"/>
    <x v="1"/>
    <d v="2026-01-21T00:00:00"/>
    <n v="242.7"/>
    <n v="59.1"/>
    <n v="4.1065989847715736"/>
    <n v="1.1000000000000001"/>
    <n v="3"/>
    <n v="44.1"/>
    <n v="95.8"/>
  </r>
  <r>
    <x v="1"/>
    <x v="1"/>
    <d v="2026-01-23T00:00:00"/>
    <n v="234.6"/>
    <n v="46.3"/>
    <n v="5.0669546436285096"/>
    <n v="4.2"/>
    <n v="1"/>
    <n v="74.900000000000006"/>
    <n v="91"/>
  </r>
  <r>
    <x v="1"/>
    <x v="1"/>
    <d v="2026-02-28T00:00:00"/>
    <n v="128.80000000000001"/>
    <n v="32.799999999999997"/>
    <n v="3.9268292682926838"/>
    <n v="2.6"/>
    <n v="8"/>
    <n v="60.3"/>
    <n v="89.6"/>
  </r>
  <r>
    <x v="1"/>
    <x v="1"/>
    <d v="2026-03-09T00:00:00"/>
    <n v="92.5"/>
    <n v="18.2"/>
    <n v="5.082417582417583"/>
    <n v="4.3"/>
    <n v="1"/>
    <n v="64.400000000000006"/>
    <n v="91.2"/>
  </r>
  <r>
    <x v="1"/>
    <x v="1"/>
    <d v="2026-03-23T00:00:00"/>
    <n v="83.5"/>
    <n v="25.6"/>
    <n v="3.26171875"/>
    <n v="2.2999999999999998"/>
    <n v="7"/>
    <n v="59"/>
    <n v="90"/>
  </r>
  <r>
    <x v="1"/>
    <x v="1"/>
    <d v="2026-01-13T00:00:00"/>
    <n v="311.7"/>
    <n v="61.6"/>
    <n v="5.0600649350649345"/>
    <n v="0.3"/>
    <n v="3"/>
    <n v="49.9"/>
    <n v="85"/>
  </r>
  <r>
    <x v="1"/>
    <x v="1"/>
    <d v="2026-03-05T00:00:00"/>
    <n v="398"/>
    <n v="122.4"/>
    <n v="3.2516339869281046"/>
    <n v="0.9"/>
    <n v="2"/>
    <n v="70.2"/>
    <n v="95.1"/>
  </r>
  <r>
    <x v="1"/>
    <x v="1"/>
    <d v="2026-02-21T00:00:00"/>
    <n v="105.5"/>
    <n v="26"/>
    <n v="4.0576923076923075"/>
    <n v="1.4"/>
    <n v="5"/>
    <n v="44.7"/>
    <n v="93.3"/>
  </r>
  <r>
    <x v="1"/>
    <x v="1"/>
    <d v="2026-03-06T00:00:00"/>
    <n v="291.39999999999998"/>
    <n v="69.5"/>
    <n v="4.1928057553956828"/>
    <n v="2.7"/>
    <n v="3"/>
    <n v="35.4"/>
    <n v="96.4"/>
  </r>
  <r>
    <x v="1"/>
    <x v="1"/>
    <d v="2026-02-01T00:00:00"/>
    <n v="92.2"/>
    <n v="31.4"/>
    <n v="2.9363057324840764"/>
    <n v="1.7"/>
    <n v="4"/>
    <n v="42.3"/>
    <n v="97.4"/>
  </r>
  <r>
    <x v="1"/>
    <x v="1"/>
    <d v="2026-03-18T00:00:00"/>
    <n v="229.5"/>
    <n v="62.7"/>
    <n v="3.6602870813397126"/>
    <n v="0.8"/>
    <n v="1"/>
    <n v="59.5"/>
    <n v="100"/>
  </r>
  <r>
    <x v="1"/>
    <x v="1"/>
    <d v="2026-03-12T00:00:00"/>
    <n v="426.1"/>
    <n v="84.1"/>
    <n v="5.0665873959571943"/>
    <n v="2.2999999999999998"/>
    <n v="3"/>
    <n v="61.1"/>
    <n v="87.6"/>
  </r>
  <r>
    <x v="1"/>
    <x v="1"/>
    <d v="2026-01-26T00:00:00"/>
    <n v="178.8"/>
    <n v="36.299999999999997"/>
    <n v="4.9256198347107443"/>
    <n v="4.4000000000000004"/>
    <n v="5"/>
    <n v="36.6"/>
    <n v="85.9"/>
  </r>
  <r>
    <x v="1"/>
    <x v="1"/>
    <d v="2026-03-27T00:00:00"/>
    <n v="156.5"/>
    <n v="29.8"/>
    <n v="5.2516778523489931"/>
    <n v="1.8"/>
    <n v="8"/>
    <n v="71.3"/>
    <n v="98.2"/>
  </r>
  <r>
    <x v="1"/>
    <x v="1"/>
    <d v="2026-03-25T00:00:00"/>
    <n v="199.9"/>
    <n v="42.5"/>
    <n v="4.7035294117647064"/>
    <n v="2.4"/>
    <n v="5"/>
    <n v="67.599999999999994"/>
    <n v="88.9"/>
  </r>
  <r>
    <x v="1"/>
    <x v="1"/>
    <d v="2026-03-31T00:00:00"/>
    <n v="276"/>
    <n v="80.7"/>
    <n v="3.4200743494423791"/>
    <n v="3.6"/>
    <n v="7"/>
    <n v="45.8"/>
    <n v="97.1"/>
  </r>
  <r>
    <x v="1"/>
    <x v="1"/>
    <d v="2026-01-28T00:00:00"/>
    <n v="381.1"/>
    <n v="93.3"/>
    <n v="4.084673097534834"/>
    <n v="2.9"/>
    <n v="8"/>
    <n v="63.5"/>
    <n v="88.9"/>
  </r>
  <r>
    <x v="1"/>
    <x v="1"/>
    <d v="2026-01-17T00:00:00"/>
    <n v="146.1"/>
    <n v="50.7"/>
    <n v="2.8816568047337277"/>
    <n v="0.7"/>
    <n v="4"/>
    <n v="34.4"/>
    <n v="93.6"/>
  </r>
  <r>
    <x v="1"/>
    <x v="1"/>
    <d v="2026-01-10T00:00:00"/>
    <n v="388.7"/>
    <n v="129.1"/>
    <n v="3.0108443067389623"/>
    <n v="1.1000000000000001"/>
    <n v="2"/>
    <n v="34.6"/>
    <n v="88.5"/>
  </r>
  <r>
    <x v="1"/>
    <x v="1"/>
    <d v="2026-02-06T00:00:00"/>
    <n v="300.39999999999998"/>
    <n v="71.599999999999994"/>
    <n v="4.1955307262569832"/>
    <n v="4.5"/>
    <n v="5"/>
    <n v="30.3"/>
    <n v="99.8"/>
  </r>
  <r>
    <x v="1"/>
    <x v="1"/>
    <d v="2026-02-01T00:00:00"/>
    <n v="271.89999999999998"/>
    <n v="70.3"/>
    <n v="3.8677098150782361"/>
    <n v="3.4"/>
    <n v="7"/>
    <n v="53.2"/>
    <n v="94.5"/>
  </r>
  <r>
    <x v="1"/>
    <x v="1"/>
    <d v="2026-01-25T00:00:00"/>
    <n v="187.7"/>
    <n v="48.4"/>
    <n v="3.8780991735537187"/>
    <n v="1.5"/>
    <n v="5"/>
    <n v="50.8"/>
    <n v="91.3"/>
  </r>
  <r>
    <x v="1"/>
    <x v="1"/>
    <d v="2026-02-13T00:00:00"/>
    <n v="444.1"/>
    <n v="82.1"/>
    <n v="5.4092570036540808"/>
    <n v="2.8"/>
    <n v="3"/>
    <n v="67.7"/>
    <n v="96.3"/>
  </r>
  <r>
    <x v="1"/>
    <x v="1"/>
    <d v="2026-03-24T00:00:00"/>
    <n v="177.8"/>
    <n v="35.5"/>
    <n v="5.0084507042253525"/>
    <n v="0.4"/>
    <n v="8"/>
    <n v="47.9"/>
    <n v="89.5"/>
  </r>
  <r>
    <x v="1"/>
    <x v="1"/>
    <d v="2026-01-07T00:00:00"/>
    <n v="318.60000000000002"/>
    <n v="89.3"/>
    <n v="3.5677491601343787"/>
    <n v="2.1"/>
    <n v="6"/>
    <n v="57.8"/>
    <n v="98.4"/>
  </r>
  <r>
    <x v="1"/>
    <x v="1"/>
    <d v="2026-02-07T00:00:00"/>
    <n v="187.9"/>
    <n v="41.5"/>
    <n v="4.5277108433734945"/>
    <n v="0.5"/>
    <n v="4"/>
    <n v="64.5"/>
    <n v="87.7"/>
  </r>
  <r>
    <x v="1"/>
    <x v="1"/>
    <d v="2026-01-02T00:00:00"/>
    <n v="150"/>
    <n v="25"/>
    <n v="6"/>
    <n v="12"/>
    <n v="3"/>
    <n v="20"/>
    <n v="92"/>
  </r>
  <r>
    <x v="2"/>
    <x v="2"/>
    <d v="2026-03-17T00:00:00"/>
    <n v="236.1"/>
    <n v="82"/>
    <n v="2.8792682926829269"/>
    <n v="1.1000000000000001"/>
    <n v="1"/>
    <n v="55.3"/>
    <n v="95.7"/>
  </r>
  <r>
    <x v="2"/>
    <x v="2"/>
    <d v="2026-03-23T00:00:00"/>
    <n v="236.7"/>
    <n v="66.7"/>
    <n v="3.5487256371814091"/>
    <n v="0.2"/>
    <n v="3"/>
    <n v="58.7"/>
    <n v="88.9"/>
  </r>
  <r>
    <x v="2"/>
    <x v="2"/>
    <d v="2026-02-28T00:00:00"/>
    <n v="233.3"/>
    <n v="51.8"/>
    <n v="4.5038610038610045"/>
    <n v="1"/>
    <n v="7"/>
    <n v="52.2"/>
    <n v="88.7"/>
  </r>
  <r>
    <x v="2"/>
    <x v="2"/>
    <d v="2026-02-06T00:00:00"/>
    <n v="166.8"/>
    <n v="45"/>
    <n v="3.706666666666667"/>
    <n v="4"/>
    <n v="2"/>
    <n v="36.200000000000003"/>
    <n v="88.5"/>
  </r>
  <r>
    <x v="2"/>
    <x v="2"/>
    <d v="2026-03-25T00:00:00"/>
    <n v="94.9"/>
    <n v="32.9"/>
    <n v="2.8844984802431615"/>
    <n v="1.3"/>
    <n v="1"/>
    <n v="58"/>
    <n v="88.6"/>
  </r>
  <r>
    <x v="2"/>
    <x v="2"/>
    <d v="2026-03-18T00:00:00"/>
    <n v="94.7"/>
    <n v="23.9"/>
    <n v="3.96234309623431"/>
    <n v="1.6"/>
    <n v="5"/>
    <n v="31.2"/>
    <n v="88.4"/>
  </r>
  <r>
    <x v="2"/>
    <x v="2"/>
    <d v="2026-03-02T00:00:00"/>
    <n v="208.7"/>
    <n v="56.4"/>
    <n v="3.7003546099290778"/>
    <n v="3.1"/>
    <n v="3"/>
    <n v="44.8"/>
    <n v="95.4"/>
  </r>
  <r>
    <x v="2"/>
    <x v="2"/>
    <d v="2026-03-02T00:00:00"/>
    <n v="369.2"/>
    <n v="105"/>
    <n v="3.5161904761904759"/>
    <n v="2.9"/>
    <n v="7"/>
    <n v="59.2"/>
    <n v="97.8"/>
  </r>
  <r>
    <x v="2"/>
    <x v="2"/>
    <d v="2026-01-31T00:00:00"/>
    <n v="313.5"/>
    <n v="59.3"/>
    <n v="5.2866779089376053"/>
    <n v="4.5"/>
    <n v="2"/>
    <n v="49.5"/>
    <n v="86.5"/>
  </r>
  <r>
    <x v="2"/>
    <x v="2"/>
    <d v="2026-02-25T00:00:00"/>
    <n v="115.7"/>
    <n v="24.1"/>
    <n v="4.800829875518672"/>
    <n v="3.7"/>
    <n v="1"/>
    <n v="56.4"/>
    <n v="93.4"/>
  </r>
  <r>
    <x v="2"/>
    <x v="2"/>
    <d v="2026-02-25T00:00:00"/>
    <n v="392.5"/>
    <n v="113.5"/>
    <n v="3.4581497797356828"/>
    <n v="2.7"/>
    <n v="2"/>
    <n v="47.8"/>
    <n v="89.7"/>
  </r>
  <r>
    <x v="2"/>
    <x v="2"/>
    <d v="2026-02-09T00:00:00"/>
    <n v="250.8"/>
    <n v="86.4"/>
    <n v="2.9027777777777777"/>
    <n v="1.8"/>
    <n v="5"/>
    <n v="33.5"/>
    <n v="98"/>
  </r>
  <r>
    <x v="2"/>
    <x v="2"/>
    <d v="2026-03-20T00:00:00"/>
    <n v="299.8"/>
    <n v="78.099999999999994"/>
    <n v="3.8386683738796421"/>
    <n v="2.7"/>
    <n v="1"/>
    <n v="50.2"/>
    <n v="97.1"/>
  </r>
  <r>
    <x v="2"/>
    <x v="2"/>
    <d v="2026-02-11T00:00:00"/>
    <n v="324.5"/>
    <n v="89.5"/>
    <n v="3.6256983240223462"/>
    <n v="2.8"/>
    <n v="7"/>
    <n v="37.5"/>
    <n v="91.7"/>
  </r>
  <r>
    <x v="2"/>
    <x v="2"/>
    <d v="2026-02-14T00:00:00"/>
    <n v="421.9"/>
    <n v="92.3"/>
    <n v="4.5709642470205853"/>
    <n v="3.4"/>
    <n v="4"/>
    <n v="39.1"/>
    <n v="93.1"/>
  </r>
  <r>
    <x v="2"/>
    <x v="2"/>
    <d v="2026-03-11T00:00:00"/>
    <n v="447.8"/>
    <n v="84.1"/>
    <n v="5.3246135552913207"/>
    <n v="0.5"/>
    <n v="8"/>
    <n v="31.4"/>
    <n v="91.1"/>
  </r>
  <r>
    <x v="2"/>
    <x v="2"/>
    <d v="2026-03-25T00:00:00"/>
    <n v="446.9"/>
    <n v="98.1"/>
    <n v="4.5555555555555554"/>
    <n v="0.3"/>
    <n v="7"/>
    <n v="47.1"/>
    <n v="93.3"/>
  </r>
  <r>
    <x v="2"/>
    <x v="2"/>
    <d v="2026-02-13T00:00:00"/>
    <n v="303.89999999999998"/>
    <n v="68.2"/>
    <n v="4.4560117302052777"/>
    <n v="2.8"/>
    <n v="6"/>
    <n v="31.3"/>
    <n v="89.1"/>
  </r>
  <r>
    <x v="2"/>
    <x v="2"/>
    <d v="2026-03-21T00:00:00"/>
    <n v="189.3"/>
    <n v="54.6"/>
    <n v="3.4670329670329672"/>
    <n v="0.5"/>
    <n v="5"/>
    <n v="36.9"/>
    <n v="95.7"/>
  </r>
  <r>
    <x v="2"/>
    <x v="2"/>
    <d v="2026-03-13T00:00:00"/>
    <n v="414.9"/>
    <n v="76.3"/>
    <n v="5.4377457404980341"/>
    <n v="2.7"/>
    <n v="3"/>
    <n v="60.8"/>
    <n v="87.5"/>
  </r>
  <r>
    <x v="2"/>
    <x v="2"/>
    <d v="2026-02-16T00:00:00"/>
    <n v="173.1"/>
    <n v="49.9"/>
    <n v="3.4689378757515028"/>
    <n v="2.9"/>
    <n v="4"/>
    <n v="50.6"/>
    <n v="87"/>
  </r>
  <r>
    <x v="2"/>
    <x v="2"/>
    <d v="2026-01-15T00:00:00"/>
    <n v="387.6"/>
    <n v="81.2"/>
    <n v="4.7733990147783256"/>
    <n v="1.7"/>
    <n v="6"/>
    <n v="50.5"/>
    <n v="88.1"/>
  </r>
  <r>
    <x v="2"/>
    <x v="2"/>
    <d v="2026-02-21T00:00:00"/>
    <n v="270.8"/>
    <n v="76.3"/>
    <n v="3.5491480996068154"/>
    <n v="4.2"/>
    <n v="6"/>
    <n v="50.5"/>
    <n v="92.3"/>
  </r>
  <r>
    <x v="2"/>
    <x v="2"/>
    <d v="2026-03-10T00:00:00"/>
    <n v="227.2"/>
    <n v="42"/>
    <n v="5.409523809523809"/>
    <n v="3.7"/>
    <n v="8"/>
    <n v="42.1"/>
    <n v="97.4"/>
  </r>
  <r>
    <x v="2"/>
    <x v="2"/>
    <d v="2026-03-16T00:00:00"/>
    <n v="115.4"/>
    <n v="36.5"/>
    <n v="3.1616438356164385"/>
    <n v="3.7"/>
    <n v="2"/>
    <n v="56.6"/>
    <n v="85.9"/>
  </r>
  <r>
    <x v="2"/>
    <x v="2"/>
    <d v="2026-03-16T00:00:00"/>
    <n v="296.89999999999998"/>
    <n v="56.3"/>
    <n v="5.2735346358792183"/>
    <n v="0.5"/>
    <n v="2"/>
    <n v="38.9"/>
    <n v="94.7"/>
  </r>
  <r>
    <x v="2"/>
    <x v="2"/>
    <d v="2026-02-17T00:00:00"/>
    <n v="340.7"/>
    <n v="74.3"/>
    <n v="4.5854643337819647"/>
    <n v="2.7"/>
    <n v="6"/>
    <n v="43.6"/>
    <n v="87"/>
  </r>
  <r>
    <x v="2"/>
    <x v="2"/>
    <d v="2026-02-13T00:00:00"/>
    <n v="299.8"/>
    <n v="67.3"/>
    <n v="4.4546805349182765"/>
    <n v="2.2999999999999998"/>
    <n v="1"/>
    <n v="49.4"/>
    <n v="94.8"/>
  </r>
  <r>
    <x v="2"/>
    <x v="2"/>
    <d v="2026-01-29T00:00:00"/>
    <n v="211.5"/>
    <n v="44"/>
    <n v="4.8068181818181817"/>
    <n v="1.5"/>
    <n v="6"/>
    <n v="46.7"/>
    <n v="93.8"/>
  </r>
  <r>
    <x v="2"/>
    <x v="2"/>
    <d v="2026-01-17T00:00:00"/>
    <n v="307.39999999999998"/>
    <n v="68.2"/>
    <n v="4.5073313782991198"/>
    <n v="1.9"/>
    <n v="8"/>
    <n v="47.2"/>
    <n v="85.6"/>
  </r>
  <r>
    <x v="2"/>
    <x v="2"/>
    <d v="2026-01-06T00:00:00"/>
    <n v="190.3"/>
    <n v="53.1"/>
    <n v="3.5838041431261773"/>
    <n v="3.3"/>
    <n v="6"/>
    <n v="49.5"/>
    <n v="95.3"/>
  </r>
  <r>
    <x v="2"/>
    <x v="2"/>
    <d v="2026-03-15T00:00:00"/>
    <n v="384"/>
    <n v="73"/>
    <n v="5.2602739726027394"/>
    <n v="2"/>
    <n v="8"/>
    <n v="58.4"/>
    <n v="91.5"/>
  </r>
  <r>
    <x v="2"/>
    <x v="2"/>
    <d v="2026-02-15T00:00:00"/>
    <n v="423.4"/>
    <n v="137.19999999999999"/>
    <n v="3.0860058309037903"/>
    <n v="3.6"/>
    <n v="5"/>
    <n v="57.3"/>
    <n v="89.2"/>
  </r>
  <r>
    <x v="2"/>
    <x v="2"/>
    <d v="2026-01-30T00:00:00"/>
    <n v="219.9"/>
    <n v="69.7"/>
    <n v="3.1549497847919654"/>
    <n v="0.3"/>
    <n v="7"/>
    <n v="67.2"/>
    <n v="94.1"/>
  </r>
  <r>
    <x v="2"/>
    <x v="2"/>
    <d v="2026-03-19T00:00:00"/>
    <n v="94"/>
    <n v="24.5"/>
    <n v="3.8367346938775508"/>
    <n v="4.4000000000000004"/>
    <n v="5"/>
    <n v="62"/>
    <n v="94"/>
  </r>
  <r>
    <x v="2"/>
    <x v="2"/>
    <d v="2026-03-28T00:00:00"/>
    <n v="433.6"/>
    <n v="105"/>
    <n v="4.1295238095238096"/>
    <n v="0.2"/>
    <n v="1"/>
    <n v="68.2"/>
    <n v="90.6"/>
  </r>
  <r>
    <x v="2"/>
    <x v="2"/>
    <d v="2026-03-25T00:00:00"/>
    <n v="424.7"/>
    <n v="110.2"/>
    <n v="3.8539019963702357"/>
    <n v="1.2"/>
    <n v="5"/>
    <n v="49.9"/>
    <n v="86.9"/>
  </r>
  <r>
    <x v="2"/>
    <x v="2"/>
    <d v="2026-02-26T00:00:00"/>
    <n v="193.9"/>
    <n v="49.6"/>
    <n v="3.909274193548387"/>
    <n v="0.9"/>
    <n v="1"/>
    <n v="30"/>
    <n v="97.2"/>
  </r>
  <r>
    <x v="2"/>
    <x v="2"/>
    <d v="2026-01-02T00:00:00"/>
    <n v="424.2"/>
    <n v="126.1"/>
    <n v="3.3639968279143537"/>
    <n v="2.2999999999999998"/>
    <n v="2"/>
    <n v="51.1"/>
    <n v="94.6"/>
  </r>
  <r>
    <x v="2"/>
    <x v="2"/>
    <d v="2026-02-18T00:00:00"/>
    <n v="272.7"/>
    <n v="58.9"/>
    <n v="4.6298811544991514"/>
    <n v="4"/>
    <n v="4"/>
    <n v="48.8"/>
    <n v="93.6"/>
  </r>
  <r>
    <x v="2"/>
    <x v="2"/>
    <d v="2026-03-16T00:00:00"/>
    <n v="83"/>
    <n v="15.2"/>
    <n v="5.4605263157894743"/>
    <n v="1.9"/>
    <n v="3"/>
    <n v="68.400000000000006"/>
    <n v="85.9"/>
  </r>
  <r>
    <x v="2"/>
    <x v="2"/>
    <d v="2026-02-16T00:00:00"/>
    <n v="277.8"/>
    <n v="51.5"/>
    <n v="5.3941747572815535"/>
    <n v="0.5"/>
    <n v="8"/>
    <n v="64.2"/>
    <n v="89.3"/>
  </r>
  <r>
    <x v="2"/>
    <x v="2"/>
    <d v="2026-01-03T00:00:00"/>
    <n v="257.5"/>
    <n v="71.099999999999994"/>
    <n v="3.6216596343178624"/>
    <n v="3.2"/>
    <n v="1"/>
    <n v="73.900000000000006"/>
    <n v="92"/>
  </r>
  <r>
    <x v="2"/>
    <x v="2"/>
    <d v="2026-01-25T00:00:00"/>
    <n v="410"/>
    <n v="101.6"/>
    <n v="4.0354330708661417"/>
    <n v="0.5"/>
    <n v="3"/>
    <n v="43"/>
    <n v="99.3"/>
  </r>
  <r>
    <x v="2"/>
    <x v="2"/>
    <d v="2026-01-28T00:00:00"/>
    <n v="349.3"/>
    <n v="87.3"/>
    <n v="4.0011454753722795"/>
    <n v="4.5"/>
    <n v="8"/>
    <n v="43"/>
    <n v="97.1"/>
  </r>
  <r>
    <x v="2"/>
    <x v="2"/>
    <d v="2026-03-18T00:00:00"/>
    <n v="355.9"/>
    <n v="81.5"/>
    <n v="4.3668711656441719"/>
    <n v="2.6"/>
    <n v="5"/>
    <n v="58.3"/>
    <n v="92.1"/>
  </r>
  <r>
    <x v="2"/>
    <x v="2"/>
    <d v="2026-01-03T00:00:00"/>
    <n v="400"/>
    <n v="15"/>
    <n v="26.666666666666668"/>
    <n v="1"/>
    <n v="5"/>
    <n v="60"/>
    <n v="98"/>
  </r>
  <r>
    <x v="2"/>
    <x v="2"/>
    <d v="2026-03-17T00:00:00"/>
    <n v="236.1"/>
    <n v="82"/>
    <n v="2.8792682926829269"/>
    <n v="1.1000000000000001"/>
    <n v="1"/>
    <n v="55.3"/>
    <n v="95.7"/>
  </r>
  <r>
    <x v="3"/>
    <x v="3"/>
    <d v="2026-01-04T00:00:00"/>
    <n v="354.4"/>
    <n v="102.4"/>
    <n v="3.4609374999999996"/>
    <n v="0.8"/>
    <n v="2"/>
    <n v="60.5"/>
    <n v="98.4"/>
  </r>
  <r>
    <x v="3"/>
    <x v="3"/>
    <d v="2026-01-08T00:00:00"/>
    <n v="229"/>
    <n v="61.6"/>
    <n v="3.7175324675324672"/>
    <n v="3.9"/>
    <n v="4"/>
    <n v="38.6"/>
    <n v="93"/>
  </r>
  <r>
    <x v="3"/>
    <x v="3"/>
    <d v="2026-01-10T00:00:00"/>
    <n v="278.89999999999998"/>
    <n v="66.900000000000006"/>
    <n v="4.1689088191330335"/>
    <n v="0.8"/>
    <n v="6"/>
    <n v="69.599999999999994"/>
    <n v="98.2"/>
  </r>
  <r>
    <x v="3"/>
    <x v="3"/>
    <d v="2026-01-18T00:00:00"/>
    <n v="177.9"/>
    <n v="34.200000000000003"/>
    <n v="5.2017543859649118"/>
    <n v="3.4"/>
    <n v="3"/>
    <n v="42.3"/>
    <n v="94.1"/>
  </r>
  <r>
    <x v="3"/>
    <x v="3"/>
    <d v="2026-02-28T00:00:00"/>
    <n v="129.30000000000001"/>
    <n v="31.9"/>
    <n v="4.0532915360501569"/>
    <n v="2.5"/>
    <n v="6"/>
    <n v="72.8"/>
    <n v="98.4"/>
  </r>
  <r>
    <x v="3"/>
    <x v="3"/>
    <d v="2026-02-21T00:00:00"/>
    <n v="400"/>
    <n v="79.599999999999994"/>
    <n v="5.025125628140704"/>
    <n v="0.2"/>
    <n v="8"/>
    <n v="48.6"/>
    <n v="87.8"/>
  </r>
  <r>
    <x v="3"/>
    <x v="3"/>
    <d v="2026-02-26T00:00:00"/>
    <n v="141.6"/>
    <n v="39.200000000000003"/>
    <n v="3.6122448979591835"/>
    <n v="0.3"/>
    <n v="6"/>
    <n v="65.8"/>
    <n v="89.4"/>
  </r>
  <r>
    <x v="3"/>
    <x v="3"/>
    <d v="2026-02-14T00:00:00"/>
    <n v="392.8"/>
    <n v="103.6"/>
    <n v="3.7915057915057919"/>
    <n v="3.5"/>
    <n v="4"/>
    <n v="66.3"/>
    <n v="97.7"/>
  </r>
  <r>
    <x v="3"/>
    <x v="3"/>
    <d v="2026-03-25T00:00:00"/>
    <n v="204.1"/>
    <n v="63.9"/>
    <n v="3.1940532081377153"/>
    <n v="0.4"/>
    <n v="8"/>
    <n v="61.3"/>
    <n v="87.1"/>
  </r>
  <r>
    <x v="3"/>
    <x v="3"/>
    <d v="2026-03-16T00:00:00"/>
    <n v="352"/>
    <n v="95.2"/>
    <n v="3.6974789915966384"/>
    <n v="0.4"/>
    <n v="6"/>
    <n v="66.599999999999994"/>
    <n v="87.6"/>
  </r>
  <r>
    <x v="3"/>
    <x v="3"/>
    <d v="2026-02-25T00:00:00"/>
    <n v="129.6"/>
    <n v="36.9"/>
    <n v="3.5121951219512195"/>
    <n v="1.8"/>
    <n v="7"/>
    <n v="46.5"/>
    <n v="91"/>
  </r>
  <r>
    <x v="3"/>
    <x v="3"/>
    <d v="2026-02-12T00:00:00"/>
    <n v="185.3"/>
    <n v="33.9"/>
    <n v="5.4660766961651923"/>
    <n v="2.5"/>
    <n v="8"/>
    <n v="70"/>
    <n v="87"/>
  </r>
  <r>
    <x v="3"/>
    <x v="3"/>
    <d v="2026-01-13T00:00:00"/>
    <n v="274"/>
    <n v="79.400000000000006"/>
    <n v="3.4508816120906798"/>
    <n v="2.9"/>
    <n v="5"/>
    <n v="66.7"/>
    <n v="89"/>
  </r>
  <r>
    <x v="3"/>
    <x v="3"/>
    <d v="2026-03-09T00:00:00"/>
    <n v="420.1"/>
    <n v="122.8"/>
    <n v="3.421009771986971"/>
    <n v="4.0999999999999996"/>
    <n v="8"/>
    <n v="42.2"/>
    <n v="98.9"/>
  </r>
  <r>
    <x v="3"/>
    <x v="3"/>
    <d v="2026-01-17T00:00:00"/>
    <n v="112.3"/>
    <n v="28.3"/>
    <n v="3.968197879858657"/>
    <n v="2.6"/>
    <n v="7"/>
    <n v="34.6"/>
    <n v="86.3"/>
  </r>
  <r>
    <x v="3"/>
    <x v="3"/>
    <d v="2026-01-03T00:00:00"/>
    <n v="394.2"/>
    <n v="86.6"/>
    <n v="4.5519630484988456"/>
    <n v="3.1"/>
    <n v="3"/>
    <n v="71.8"/>
    <n v="96.1"/>
  </r>
  <r>
    <x v="3"/>
    <x v="3"/>
    <d v="2026-02-04T00:00:00"/>
    <n v="366.8"/>
    <n v="73"/>
    <n v="5.0246575342465754"/>
    <n v="1.8"/>
    <n v="1"/>
    <n v="64.2"/>
    <n v="91.6"/>
  </r>
  <r>
    <x v="3"/>
    <x v="3"/>
    <d v="2026-01-30T00:00:00"/>
    <n v="354.1"/>
    <n v="126.2"/>
    <n v="2.8058637083993663"/>
    <n v="3.9"/>
    <n v="1"/>
    <n v="41"/>
    <n v="92.1"/>
  </r>
  <r>
    <x v="3"/>
    <x v="3"/>
    <d v="2026-01-12T00:00:00"/>
    <n v="138.30000000000001"/>
    <n v="29.7"/>
    <n v="4.6565656565656575"/>
    <n v="3.8"/>
    <n v="1"/>
    <n v="39.700000000000003"/>
    <n v="97.8"/>
  </r>
  <r>
    <x v="3"/>
    <x v="3"/>
    <d v="2026-01-10T00:00:00"/>
    <n v="206.5"/>
    <n v="39.700000000000003"/>
    <n v="5.2015113350125937"/>
    <n v="0.9"/>
    <n v="2"/>
    <n v="54.6"/>
    <n v="98.5"/>
  </r>
  <r>
    <x v="3"/>
    <x v="3"/>
    <d v="2026-01-11T00:00:00"/>
    <n v="327.2"/>
    <n v="65.7"/>
    <n v="4.9802130898021302"/>
    <n v="2"/>
    <n v="4"/>
    <n v="54.9"/>
    <n v="97.6"/>
  </r>
  <r>
    <x v="3"/>
    <x v="3"/>
    <d v="2026-02-06T00:00:00"/>
    <n v="401"/>
    <n v="77.5"/>
    <n v="5.1741935483870964"/>
    <n v="4"/>
    <n v="5"/>
    <n v="47.2"/>
    <n v="92.3"/>
  </r>
  <r>
    <x v="3"/>
    <x v="3"/>
    <d v="2026-03-29T00:00:00"/>
    <n v="221.2"/>
    <n v="61.3"/>
    <n v="3.6084828711256116"/>
    <n v="0.4"/>
    <n v="3"/>
    <n v="36.200000000000003"/>
    <n v="88"/>
  </r>
  <r>
    <x v="3"/>
    <x v="3"/>
    <d v="2026-03-25T00:00:00"/>
    <n v="389.4"/>
    <n v="132.9"/>
    <n v="2.9300225733634306"/>
    <n v="0.7"/>
    <n v="8"/>
    <n v="47.1"/>
    <n v="93.2"/>
  </r>
  <r>
    <x v="3"/>
    <x v="3"/>
    <d v="2026-02-20T00:00:00"/>
    <n v="159.80000000000001"/>
    <n v="31.8"/>
    <n v="5.0251572327044025"/>
    <n v="1"/>
    <n v="6"/>
    <n v="34.799999999999997"/>
    <n v="91.2"/>
  </r>
  <r>
    <x v="3"/>
    <x v="3"/>
    <d v="2026-01-22T00:00:00"/>
    <n v="439.5"/>
    <n v="89.9"/>
    <n v="4.8887652947719689"/>
    <n v="2.5"/>
    <n v="2"/>
    <n v="39.5"/>
    <n v="94.4"/>
  </r>
  <r>
    <x v="3"/>
    <x v="3"/>
    <d v="2026-01-28T00:00:00"/>
    <n v="268.10000000000002"/>
    <n v="54.5"/>
    <n v="4.9192660550458722"/>
    <n v="3.6"/>
    <n v="1"/>
    <n v="37.200000000000003"/>
    <n v="99.5"/>
  </r>
  <r>
    <x v="3"/>
    <x v="3"/>
    <d v="2026-03-13T00:00:00"/>
    <n v="106.8"/>
    <n v="29.7"/>
    <n v="3.595959595959596"/>
    <n v="4.3"/>
    <n v="5"/>
    <n v="69.400000000000006"/>
    <n v="97.2"/>
  </r>
  <r>
    <x v="3"/>
    <x v="3"/>
    <d v="2026-02-06T00:00:00"/>
    <n v="179.6"/>
    <n v="38"/>
    <n v="4.7263157894736842"/>
    <n v="3.3"/>
    <n v="4"/>
    <n v="34.1"/>
    <n v="85.2"/>
  </r>
  <r>
    <x v="3"/>
    <x v="3"/>
    <d v="2026-03-23T00:00:00"/>
    <n v="293.3"/>
    <n v="63.5"/>
    <n v="4.6188976377952757"/>
    <n v="3.2"/>
    <n v="7"/>
    <n v="69.7"/>
    <n v="87.5"/>
  </r>
  <r>
    <x v="3"/>
    <x v="3"/>
    <d v="2026-01-30T00:00:00"/>
    <n v="356.6"/>
    <n v="70"/>
    <n v="5.0942857142857143"/>
    <n v="4.2"/>
    <n v="7"/>
    <n v="32.4"/>
    <n v="92.9"/>
  </r>
  <r>
    <x v="3"/>
    <x v="3"/>
    <d v="2026-02-10T00:00:00"/>
    <n v="259.3"/>
    <n v="58.8"/>
    <n v="4.4098639455782314"/>
    <n v="0.6"/>
    <n v="4"/>
    <n v="52.5"/>
    <n v="91.9"/>
  </r>
  <r>
    <x v="3"/>
    <x v="3"/>
    <d v="2026-03-08T00:00:00"/>
    <n v="363.5"/>
    <n v="75.5"/>
    <n v="4.814569536423841"/>
    <n v="0.3"/>
    <n v="5"/>
    <n v="58.7"/>
    <n v="88.1"/>
  </r>
  <r>
    <x v="3"/>
    <x v="3"/>
    <d v="2026-01-02T00:00:00"/>
    <n v="434.6"/>
    <n v="100.8"/>
    <n v="4.3115079365079367"/>
    <n v="0.6"/>
    <n v="6"/>
    <n v="54.7"/>
    <n v="89.1"/>
  </r>
  <r>
    <x v="3"/>
    <x v="3"/>
    <d v="2026-01-05T00:00:00"/>
    <n v="107"/>
    <n v="24.6"/>
    <n v="4.3495934959349594"/>
    <n v="1.3"/>
    <n v="8"/>
    <n v="30.8"/>
    <n v="92.5"/>
  </r>
  <r>
    <x v="3"/>
    <x v="3"/>
    <d v="2026-01-10T00:00:00"/>
    <n v="411.2"/>
    <n v="86.6"/>
    <n v="4.7482678983833724"/>
    <n v="2.7"/>
    <n v="6"/>
    <n v="48.9"/>
    <n v="96.2"/>
  </r>
  <r>
    <x v="3"/>
    <x v="3"/>
    <d v="2026-01-22T00:00:00"/>
    <n v="182.1"/>
    <n v="38.9"/>
    <n v="4.6812339331619537"/>
    <n v="2.2999999999999998"/>
    <n v="4"/>
    <n v="53.4"/>
    <n v="94.4"/>
  </r>
  <r>
    <x v="3"/>
    <x v="3"/>
    <d v="2026-02-17T00:00:00"/>
    <n v="269.60000000000002"/>
    <n v="61.9"/>
    <n v="4.3554119547657519"/>
    <n v="3.8"/>
    <n v="3"/>
    <n v="56.2"/>
    <n v="87.2"/>
  </r>
  <r>
    <x v="3"/>
    <x v="3"/>
    <d v="2026-03-18T00:00:00"/>
    <n v="358.5"/>
    <n v="84"/>
    <n v="4.2678571428571432"/>
    <n v="4"/>
    <n v="5"/>
    <n v="42.2"/>
    <n v="95.5"/>
  </r>
  <r>
    <x v="3"/>
    <x v="3"/>
    <d v="2026-01-04T00:00:00"/>
    <n v="220"/>
    <n v="55"/>
    <n v="4"/>
    <n v="2"/>
    <n v="4"/>
    <n v="50"/>
    <n v="40"/>
  </r>
  <r>
    <x v="3"/>
    <x v="3"/>
    <d v="2026-01-04T00:00:00"/>
    <n v="354.4"/>
    <n v="102.4"/>
    <n v="3.4609374999999996"/>
    <n v="0.8"/>
    <n v="2"/>
    <n v="60.5"/>
    <n v="98.4"/>
  </r>
  <r>
    <x v="4"/>
    <x v="4"/>
    <d v="2026-03-07T00:00:00"/>
    <n v="262.60000000000002"/>
    <n v="54.2"/>
    <n v="4.8450184501845017"/>
    <n v="3.9"/>
    <n v="3"/>
    <n v="58.2"/>
    <n v="96.9"/>
  </r>
  <r>
    <x v="4"/>
    <x v="4"/>
    <d v="2026-02-24T00:00:00"/>
    <n v="147.9"/>
    <n v="36.5"/>
    <n v="4.0520547945205481"/>
    <n v="4"/>
    <n v="2"/>
    <n v="49.9"/>
    <n v="97.9"/>
  </r>
  <r>
    <x v="4"/>
    <x v="4"/>
    <d v="2026-01-28T00:00:00"/>
    <n v="103.8"/>
    <n v="26.6"/>
    <n v="3.9022556390977439"/>
    <n v="2.5"/>
    <n v="7"/>
    <n v="32.799999999999997"/>
    <n v="97.5"/>
  </r>
  <r>
    <x v="4"/>
    <x v="4"/>
    <d v="2026-02-25T00:00:00"/>
    <n v="145.19999999999999"/>
    <n v="34.5"/>
    <n v="4.2086956521739127"/>
    <n v="3"/>
    <n v="8"/>
    <n v="50.9"/>
    <n v="97.4"/>
  </r>
  <r>
    <x v="4"/>
    <x v="4"/>
    <d v="2026-02-04T00:00:00"/>
    <n v="385.9"/>
    <n v="128.9"/>
    <n v="2.993793638479441"/>
    <n v="0.9"/>
    <n v="5"/>
    <n v="56.8"/>
    <n v="97.4"/>
  </r>
  <r>
    <x v="4"/>
    <x v="4"/>
    <d v="2026-03-05T00:00:00"/>
    <n v="425.1"/>
    <n v="118.5"/>
    <n v="3.5873417721518988"/>
    <n v="3.2"/>
    <n v="7"/>
    <n v="67.599999999999994"/>
    <n v="99.7"/>
  </r>
  <r>
    <x v="4"/>
    <x v="4"/>
    <d v="2026-03-05T00:00:00"/>
    <n v="437"/>
    <n v="139.1"/>
    <n v="3.1416247304097773"/>
    <n v="4.4000000000000004"/>
    <n v="6"/>
    <n v="69.099999999999994"/>
    <n v="98.1"/>
  </r>
  <r>
    <x v="4"/>
    <x v="4"/>
    <d v="2026-03-22T00:00:00"/>
    <n v="116"/>
    <n v="25.8"/>
    <n v="4.4961240310077519"/>
    <n v="0.4"/>
    <n v="8"/>
    <n v="31.5"/>
    <n v="90.5"/>
  </r>
  <r>
    <x v="4"/>
    <x v="4"/>
    <d v="2026-01-12T00:00:00"/>
    <n v="416.6"/>
    <n v="113.1"/>
    <n v="3.6834659593280286"/>
    <n v="2"/>
    <n v="4"/>
    <n v="35.9"/>
    <n v="93.1"/>
  </r>
  <r>
    <x v="4"/>
    <x v="4"/>
    <d v="2026-02-26T00:00:00"/>
    <n v="105.3"/>
    <n v="26.4"/>
    <n v="3.9886363636363638"/>
    <n v="1.5"/>
    <n v="5"/>
    <n v="56.6"/>
    <n v="90.3"/>
  </r>
  <r>
    <x v="4"/>
    <x v="4"/>
    <d v="2026-03-27T00:00:00"/>
    <n v="340"/>
    <n v="63.5"/>
    <n v="5.3543307086614176"/>
    <n v="4.5"/>
    <n v="2"/>
    <n v="59.1"/>
    <n v="91.4"/>
  </r>
  <r>
    <x v="4"/>
    <x v="4"/>
    <d v="2026-01-10T00:00:00"/>
    <n v="189.4"/>
    <n v="38.4"/>
    <n v="4.932291666666667"/>
    <n v="2.4"/>
    <n v="1"/>
    <n v="59.8"/>
    <n v="98.1"/>
  </r>
  <r>
    <x v="4"/>
    <x v="4"/>
    <d v="2026-02-07T00:00:00"/>
    <n v="238.8"/>
    <n v="53.5"/>
    <n v="4.4635514018691591"/>
    <n v="1.2"/>
    <n v="7"/>
    <n v="38.4"/>
    <n v="95"/>
  </r>
  <r>
    <x v="4"/>
    <x v="4"/>
    <d v="2026-03-03T00:00:00"/>
    <n v="136.69999999999999"/>
    <n v="28.4"/>
    <n v="4.813380281690141"/>
    <n v="2.8"/>
    <n v="7"/>
    <n v="61.6"/>
    <n v="98.7"/>
  </r>
  <r>
    <x v="4"/>
    <x v="4"/>
    <d v="2026-03-24T00:00:00"/>
    <n v="442"/>
    <n v="97.3"/>
    <n v="4.5426515930113052"/>
    <n v="2"/>
    <n v="7"/>
    <n v="50.2"/>
    <n v="98.8"/>
  </r>
  <r>
    <x v="4"/>
    <x v="4"/>
    <d v="2026-02-20T00:00:00"/>
    <n v="423.7"/>
    <n v="117.4"/>
    <n v="3.6090289608177168"/>
    <n v="2.6"/>
    <n v="7"/>
    <n v="60.5"/>
    <n v="93.1"/>
  </r>
  <r>
    <x v="4"/>
    <x v="4"/>
    <d v="2026-02-19T00:00:00"/>
    <n v="197.2"/>
    <n v="63.9"/>
    <n v="3.0860719874804379"/>
    <n v="0.2"/>
    <n v="5"/>
    <n v="50"/>
    <n v="96.4"/>
  </r>
  <r>
    <x v="4"/>
    <x v="4"/>
    <d v="2026-03-07T00:00:00"/>
    <n v="223.7"/>
    <n v="50.7"/>
    <n v="4.4122287968441807"/>
    <n v="2.7"/>
    <n v="7"/>
    <n v="38.4"/>
    <n v="94.5"/>
  </r>
  <r>
    <x v="4"/>
    <x v="4"/>
    <d v="2026-03-03T00:00:00"/>
    <n v="106.2"/>
    <n v="27.7"/>
    <n v="3.8339350180505418"/>
    <n v="3.3"/>
    <n v="2"/>
    <n v="34.6"/>
    <n v="90.5"/>
  </r>
  <r>
    <x v="4"/>
    <x v="4"/>
    <d v="2026-02-01T00:00:00"/>
    <n v="182.5"/>
    <n v="60.3"/>
    <n v="3.0265339966832507"/>
    <n v="2.6"/>
    <n v="5"/>
    <n v="65.099999999999994"/>
    <n v="95.4"/>
  </r>
  <r>
    <x v="4"/>
    <x v="4"/>
    <d v="2026-01-31T00:00:00"/>
    <n v="187.9"/>
    <n v="36.9"/>
    <n v="5.0921409214092144"/>
    <n v="4.2"/>
    <n v="7"/>
    <n v="61.5"/>
    <n v="96"/>
  </r>
  <r>
    <x v="4"/>
    <x v="4"/>
    <d v="2026-01-12T00:00:00"/>
    <n v="343.1"/>
    <n v="63.4"/>
    <n v="5.4116719242902214"/>
    <n v="1.9"/>
    <n v="1"/>
    <n v="60.5"/>
    <n v="88.9"/>
  </r>
  <r>
    <x v="4"/>
    <x v="4"/>
    <d v="2026-01-16T00:00:00"/>
    <n v="84.4"/>
    <n v="16.7"/>
    <n v="5.0538922155688626"/>
    <n v="4.4000000000000004"/>
    <n v="3"/>
    <n v="38.9"/>
    <n v="91"/>
  </r>
  <r>
    <x v="4"/>
    <x v="4"/>
    <d v="2026-01-12T00:00:00"/>
    <n v="414.9"/>
    <n v="82.3"/>
    <n v="5.0413122721749692"/>
    <n v="1.6"/>
    <n v="1"/>
    <n v="72.400000000000006"/>
    <n v="85.8"/>
  </r>
  <r>
    <x v="4"/>
    <x v="4"/>
    <d v="2026-01-07T00:00:00"/>
    <n v="213.5"/>
    <n v="54"/>
    <n v="3.9537037037037037"/>
    <n v="1.5"/>
    <n v="8"/>
    <n v="39"/>
    <n v="85.4"/>
  </r>
  <r>
    <x v="4"/>
    <x v="4"/>
    <d v="2026-02-13T00:00:00"/>
    <n v="448.6"/>
    <n v="108.8"/>
    <n v="4.1231617647058822"/>
    <n v="3.4"/>
    <n v="3"/>
    <n v="72.7"/>
    <n v="98.8"/>
  </r>
  <r>
    <x v="4"/>
    <x v="4"/>
    <d v="2026-03-03T00:00:00"/>
    <n v="420.5"/>
    <n v="135.4"/>
    <n v="3.1056129985228949"/>
    <n v="2"/>
    <n v="1"/>
    <n v="32.9"/>
    <n v="94.8"/>
  </r>
  <r>
    <x v="4"/>
    <x v="4"/>
    <d v="2026-01-14T00:00:00"/>
    <n v="223.3"/>
    <n v="50.5"/>
    <n v="4.4217821782178222"/>
    <n v="4"/>
    <n v="7"/>
    <n v="48.8"/>
    <n v="94.1"/>
  </r>
  <r>
    <x v="4"/>
    <x v="4"/>
    <d v="2026-01-04T00:00:00"/>
    <n v="249.9"/>
    <n v="67.599999999999994"/>
    <n v="3.6967455621301779"/>
    <n v="0.6"/>
    <n v="1"/>
    <n v="38"/>
    <n v="88.8"/>
  </r>
  <r>
    <x v="4"/>
    <x v="4"/>
    <d v="2026-03-03T00:00:00"/>
    <n v="427.5"/>
    <n v="147"/>
    <n v="2.9081632653061225"/>
    <n v="3.5"/>
    <n v="4"/>
    <n v="32.799999999999997"/>
    <n v="90.5"/>
  </r>
  <r>
    <x v="4"/>
    <x v="4"/>
    <d v="2026-02-26T00:00:00"/>
    <n v="141.30000000000001"/>
    <n v="47"/>
    <n v="3.0063829787234044"/>
    <n v="3"/>
    <n v="4"/>
    <n v="36.799999999999997"/>
    <n v="87.4"/>
  </r>
  <r>
    <x v="4"/>
    <x v="4"/>
    <d v="2026-03-22T00:00:00"/>
    <n v="269.7"/>
    <n v="51.8"/>
    <n v="5.2065637065637063"/>
    <n v="0.8"/>
    <n v="3"/>
    <n v="41.6"/>
    <n v="87.7"/>
  </r>
  <r>
    <x v="4"/>
    <x v="4"/>
    <d v="2026-02-14T00:00:00"/>
    <n v="186.1"/>
    <n v="43.8"/>
    <n v="4.2488584474885842"/>
    <n v="3.2"/>
    <n v="8"/>
    <n v="72.599999999999994"/>
    <n v="92.2"/>
  </r>
  <r>
    <x v="4"/>
    <x v="4"/>
    <d v="2026-02-02T00:00:00"/>
    <n v="412.5"/>
    <n v="100.4"/>
    <n v="4.1085657370517925"/>
    <n v="2.1"/>
    <n v="5"/>
    <n v="54.4"/>
    <n v="92.4"/>
  </r>
  <r>
    <x v="4"/>
    <x v="4"/>
    <d v="2026-02-13T00:00:00"/>
    <n v="110.5"/>
    <n v="25.4"/>
    <n v="4.3503937007874018"/>
    <n v="0.4"/>
    <n v="7"/>
    <n v="41.8"/>
    <n v="91"/>
  </r>
  <r>
    <x v="4"/>
    <x v="4"/>
    <d v="2026-03-30T00:00:00"/>
    <n v="338.5"/>
    <n v="118.8"/>
    <n v="2.8493265993265995"/>
    <n v="2.7"/>
    <n v="1"/>
    <n v="41.5"/>
    <n v="85.9"/>
  </r>
  <r>
    <x v="4"/>
    <x v="4"/>
    <d v="2026-03-25T00:00:00"/>
    <n v="425.2"/>
    <n v="80.599999999999994"/>
    <n v="5.2754342431761785"/>
    <n v="1.6"/>
    <n v="2"/>
    <n v="38.299999999999997"/>
    <n v="97.6"/>
  </r>
  <r>
    <x v="4"/>
    <x v="4"/>
    <d v="2026-01-04T00:00:00"/>
    <n v="363.2"/>
    <n v="70.2"/>
    <n v="5.1737891737891735"/>
    <n v="2"/>
    <n v="7"/>
    <n v="43.7"/>
    <n v="96.2"/>
  </r>
  <r>
    <x v="4"/>
    <x v="4"/>
    <d v="2026-01-21T00:00:00"/>
    <n v="401.5"/>
    <n v="122.3"/>
    <n v="3.2829108748977922"/>
    <n v="3.3"/>
    <n v="7"/>
    <n v="43.9"/>
    <n v="96"/>
  </r>
  <r>
    <x v="4"/>
    <x v="4"/>
    <d v="2026-03-20T00:00:00"/>
    <n v="175.5"/>
    <n v="46.4"/>
    <n v="3.7823275862068968"/>
    <n v="1"/>
    <n v="6"/>
    <n v="65.5"/>
    <n v="98.2"/>
  </r>
  <r>
    <x v="4"/>
    <x v="4"/>
    <d v="2026-01-18T00:00:00"/>
    <n v="84.3"/>
    <n v="18.5"/>
    <n v="4.5567567567567568"/>
    <n v="0.8"/>
    <n v="8"/>
    <n v="59.6"/>
    <n v="99.6"/>
  </r>
  <r>
    <x v="4"/>
    <x v="4"/>
    <d v="2026-01-11T00:00:00"/>
    <n v="130.80000000000001"/>
    <n v="26.3"/>
    <n v="4.9733840304182513"/>
    <n v="3.9"/>
    <n v="7"/>
    <n v="58"/>
    <n v="91.8"/>
  </r>
  <r>
    <x v="4"/>
    <x v="4"/>
    <d v="2026-03-20T00:00:00"/>
    <n v="184"/>
    <n v="36"/>
    <n v="5.1111111111111107"/>
    <n v="0.3"/>
    <n v="2"/>
    <n v="57.2"/>
    <n v="98.7"/>
  </r>
  <r>
    <x v="4"/>
    <x v="4"/>
    <d v="2026-03-26T00:00:00"/>
    <n v="245.3"/>
    <n v="49.2"/>
    <n v="4.9857723577235769"/>
    <n v="1.3"/>
    <n v="4"/>
    <n v="51.8"/>
    <n v="97"/>
  </r>
  <r>
    <x v="4"/>
    <x v="4"/>
    <d v="2026-03-04T00:00:00"/>
    <n v="321.89999999999998"/>
    <n v="79"/>
    <n v="4.074683544303797"/>
    <n v="4.0999999999999996"/>
    <n v="1"/>
    <n v="40.9"/>
    <n v="94.7"/>
  </r>
  <r>
    <x v="4"/>
    <x v="4"/>
    <d v="2026-01-05T00:00:00"/>
    <n v="336.1"/>
    <n v="113.5"/>
    <n v="2.9612334801762117"/>
    <n v="0.8"/>
    <n v="8"/>
    <n v="50.6"/>
    <n v="87.6"/>
  </r>
  <r>
    <x v="4"/>
    <x v="4"/>
    <d v="2026-02-21T00:00:00"/>
    <n v="148.4"/>
    <n v="28.8"/>
    <n v="5.1527777777777777"/>
    <n v="2.9"/>
    <n v="1"/>
    <n v="68.7"/>
    <n v="86.1"/>
  </r>
  <r>
    <x v="4"/>
    <x v="4"/>
    <d v="2026-02-12T00:00:00"/>
    <n v="168.3"/>
    <n v="54.2"/>
    <n v="3.1051660516605168"/>
    <n v="2.2999999999999998"/>
    <n v="4"/>
    <n v="63.9"/>
    <n v="96.4"/>
  </r>
  <r>
    <x v="4"/>
    <x v="4"/>
    <d v="2026-01-21T00:00:00"/>
    <n v="168"/>
    <n v="57.7"/>
    <n v="2.9116117850953205"/>
    <n v="1.6"/>
    <n v="3"/>
    <n v="49.8"/>
    <n v="90.5"/>
  </r>
  <r>
    <x v="5"/>
    <x v="5"/>
    <d v="2026-02-22T00:00:00"/>
    <n v="259.7"/>
    <n v="76.900000000000006"/>
    <n v="3.3771131339401816"/>
    <n v="1.9"/>
    <n v="1"/>
    <n v="37.4"/>
    <n v="85"/>
  </r>
  <r>
    <x v="5"/>
    <x v="5"/>
    <d v="2026-03-26T00:00:00"/>
    <n v="111.4"/>
    <n v="26.6"/>
    <n v="4.1879699248120303"/>
    <n v="2.9"/>
    <n v="6"/>
    <n v="34.200000000000003"/>
    <n v="99.3"/>
  </r>
  <r>
    <x v="5"/>
    <x v="5"/>
    <d v="2026-03-02T00:00:00"/>
    <n v="272"/>
    <n v="68.099999999999994"/>
    <n v="3.994126284875184"/>
    <n v="1.4"/>
    <n v="7"/>
    <n v="58.6"/>
    <n v="92.4"/>
  </r>
  <r>
    <x v="5"/>
    <x v="5"/>
    <d v="2026-03-19T00:00:00"/>
    <n v="136.6"/>
    <n v="28.2"/>
    <n v="4.8439716312056733"/>
    <n v="0.5"/>
    <n v="8"/>
    <n v="50.9"/>
    <n v="93.5"/>
  </r>
  <r>
    <x v="5"/>
    <x v="5"/>
    <d v="2026-02-16T00:00:00"/>
    <n v="268.2"/>
    <n v="85.8"/>
    <n v="3.1258741258741258"/>
    <n v="1.1000000000000001"/>
    <n v="3"/>
    <n v="40.700000000000003"/>
    <n v="92.4"/>
  </r>
  <r>
    <x v="5"/>
    <x v="5"/>
    <d v="2026-03-26T00:00:00"/>
    <n v="311.10000000000002"/>
    <n v="59.4"/>
    <n v="5.2373737373737379"/>
    <n v="1.7"/>
    <n v="1"/>
    <n v="67.099999999999994"/>
    <n v="85.4"/>
  </r>
  <r>
    <x v="5"/>
    <x v="5"/>
    <d v="2026-02-11T00:00:00"/>
    <n v="425.5"/>
    <n v="89.6"/>
    <n v="4.7488839285714288"/>
    <n v="1"/>
    <n v="3"/>
    <n v="52.4"/>
    <n v="92.7"/>
  </r>
  <r>
    <x v="5"/>
    <x v="5"/>
    <d v="2026-03-09T00:00:00"/>
    <n v="312.7"/>
    <n v="69.900000000000006"/>
    <n v="4.473533619456366"/>
    <n v="3.8"/>
    <n v="3"/>
    <n v="67"/>
    <n v="88.6"/>
  </r>
  <r>
    <x v="5"/>
    <x v="5"/>
    <d v="2026-03-10T00:00:00"/>
    <n v="225.4"/>
    <n v="71.7"/>
    <n v="3.1436541143654115"/>
    <n v="4.4000000000000004"/>
    <n v="1"/>
    <n v="64"/>
    <n v="99.7"/>
  </r>
  <r>
    <x v="5"/>
    <x v="5"/>
    <d v="2026-01-24T00:00:00"/>
    <n v="317"/>
    <n v="79.900000000000006"/>
    <n v="3.9674593241551936"/>
    <n v="0.3"/>
    <n v="4"/>
    <n v="50.2"/>
    <n v="91.4"/>
  </r>
  <r>
    <x v="5"/>
    <x v="5"/>
    <d v="2026-03-13T00:00:00"/>
    <n v="141.69999999999999"/>
    <n v="39.6"/>
    <n v="3.5782828282828278"/>
    <n v="1"/>
    <n v="8"/>
    <n v="57.9"/>
    <n v="98"/>
  </r>
  <r>
    <x v="5"/>
    <x v="5"/>
    <d v="2026-01-16T00:00:00"/>
    <n v="84.7"/>
    <n v="26.7"/>
    <n v="3.1722846441947565"/>
    <n v="0.2"/>
    <n v="8"/>
    <n v="72.900000000000006"/>
    <n v="92.8"/>
  </r>
  <r>
    <x v="5"/>
    <x v="5"/>
    <d v="2026-01-04T00:00:00"/>
    <n v="432.3"/>
    <n v="84.6"/>
    <n v="5.1099290780141846"/>
    <n v="2.6"/>
    <n v="4"/>
    <n v="34.299999999999997"/>
    <n v="86.5"/>
  </r>
  <r>
    <x v="5"/>
    <x v="5"/>
    <d v="2026-02-05T00:00:00"/>
    <n v="183.5"/>
    <n v="35.4"/>
    <n v="5.1836158192090398"/>
    <n v="0.3"/>
    <n v="4"/>
    <n v="59.1"/>
    <n v="92.5"/>
  </r>
  <r>
    <x v="5"/>
    <x v="5"/>
    <d v="2026-02-25T00:00:00"/>
    <n v="373"/>
    <n v="69.2"/>
    <n v="5.3901734104046239"/>
    <n v="3"/>
    <n v="3"/>
    <n v="61.8"/>
    <n v="93.4"/>
  </r>
  <r>
    <x v="5"/>
    <x v="5"/>
    <d v="2026-01-01T00:00:00"/>
    <n v="431.1"/>
    <n v="80.400000000000006"/>
    <n v="5.3619402985074629"/>
    <n v="1.9"/>
    <n v="1"/>
    <n v="38.200000000000003"/>
    <n v="89.8"/>
  </r>
  <r>
    <x v="5"/>
    <x v="5"/>
    <d v="2026-03-23T00:00:00"/>
    <n v="188"/>
    <n v="62.2"/>
    <n v="3.022508038585209"/>
    <n v="3.8"/>
    <n v="5"/>
    <n v="65.3"/>
    <n v="92.1"/>
  </r>
  <r>
    <x v="5"/>
    <x v="5"/>
    <d v="2026-01-22T00:00:00"/>
    <n v="439.7"/>
    <n v="88.2"/>
    <n v="4.9852607709750565"/>
    <n v="0.7"/>
    <n v="7"/>
    <n v="33.5"/>
    <n v="95.2"/>
  </r>
  <r>
    <x v="5"/>
    <x v="5"/>
    <d v="2026-03-18T00:00:00"/>
    <n v="376.3"/>
    <n v="110.5"/>
    <n v="3.4054298642533936"/>
    <n v="2.8"/>
    <n v="5"/>
    <n v="62.1"/>
    <n v="95.6"/>
  </r>
  <r>
    <x v="5"/>
    <x v="5"/>
    <d v="2026-02-10T00:00:00"/>
    <n v="314.8"/>
    <n v="111.9"/>
    <n v="2.813226094727435"/>
    <n v="1.4"/>
    <n v="3"/>
    <n v="55.9"/>
    <n v="87.4"/>
  </r>
  <r>
    <x v="5"/>
    <x v="5"/>
    <d v="2026-01-15T00:00:00"/>
    <n v="129"/>
    <n v="27.1"/>
    <n v="4.7601476014760147"/>
    <n v="4.4000000000000004"/>
    <n v="3"/>
    <n v="34.700000000000003"/>
    <n v="98.7"/>
  </r>
  <r>
    <x v="5"/>
    <x v="5"/>
    <d v="2026-03-05T00:00:00"/>
    <n v="132"/>
    <n v="27.9"/>
    <n v="4.731182795698925"/>
    <n v="3.3"/>
    <n v="2"/>
    <n v="41.4"/>
    <n v="87.9"/>
  </r>
  <r>
    <x v="5"/>
    <x v="5"/>
    <d v="2026-03-07T00:00:00"/>
    <n v="124.2"/>
    <n v="42.7"/>
    <n v="2.9086651053864165"/>
    <n v="1.4"/>
    <n v="5"/>
    <n v="35.9"/>
    <n v="93.8"/>
  </r>
  <r>
    <x v="5"/>
    <x v="5"/>
    <d v="2026-03-21T00:00:00"/>
    <n v="324.10000000000002"/>
    <n v="92.2"/>
    <n v="3.515184381778742"/>
    <n v="3.3"/>
    <n v="6"/>
    <n v="71.5"/>
    <n v="93.9"/>
  </r>
  <r>
    <x v="5"/>
    <x v="5"/>
    <d v="2026-03-02T00:00:00"/>
    <n v="413.6"/>
    <n v="93.6"/>
    <n v="4.4188034188034191"/>
    <n v="4"/>
    <n v="2"/>
    <n v="34.200000000000003"/>
    <n v="94.9"/>
  </r>
  <r>
    <x v="5"/>
    <x v="5"/>
    <d v="2026-03-23T00:00:00"/>
    <n v="262.89999999999998"/>
    <n v="92.9"/>
    <n v="2.8299246501614634"/>
    <n v="3.9"/>
    <n v="5"/>
    <n v="38.799999999999997"/>
    <n v="96.8"/>
  </r>
  <r>
    <x v="5"/>
    <x v="5"/>
    <d v="2026-01-12T00:00:00"/>
    <n v="448.8"/>
    <n v="91.5"/>
    <n v="4.9049180327868855"/>
    <n v="1.7"/>
    <n v="7"/>
    <n v="48.2"/>
    <n v="88"/>
  </r>
  <r>
    <x v="5"/>
    <x v="5"/>
    <d v="2026-03-12T00:00:00"/>
    <n v="228.6"/>
    <n v="61.6"/>
    <n v="3.7110389610389607"/>
    <n v="0.9"/>
    <n v="8"/>
    <n v="72"/>
    <n v="98.5"/>
  </r>
  <r>
    <x v="5"/>
    <x v="5"/>
    <d v="2026-03-16T00:00:00"/>
    <n v="427"/>
    <n v="91.2"/>
    <n v="4.682017543859649"/>
    <n v="0.8"/>
    <n v="7"/>
    <n v="44.6"/>
    <n v="85.4"/>
  </r>
  <r>
    <x v="5"/>
    <x v="5"/>
    <d v="2026-01-16T00:00:00"/>
    <n v="113.7"/>
    <n v="24.2"/>
    <n v="4.6983471074380168"/>
    <n v="2.9"/>
    <n v="2"/>
    <n v="53.6"/>
    <n v="90.8"/>
  </r>
  <r>
    <x v="5"/>
    <x v="5"/>
    <d v="2026-02-10T00:00:00"/>
    <n v="282.60000000000002"/>
    <n v="61.2"/>
    <n v="4.6176470588235299"/>
    <n v="3.8"/>
    <n v="1"/>
    <n v="48.5"/>
    <n v="92.9"/>
  </r>
  <r>
    <x v="5"/>
    <x v="5"/>
    <d v="2026-02-19T00:00:00"/>
    <n v="218.2"/>
    <n v="54.1"/>
    <n v="4.033271719038817"/>
    <n v="1"/>
    <n v="6"/>
    <n v="73.900000000000006"/>
    <n v="88"/>
  </r>
  <r>
    <x v="5"/>
    <x v="5"/>
    <d v="2026-03-10T00:00:00"/>
    <n v="191.6"/>
    <n v="36.299999999999997"/>
    <n v="5.2782369146005514"/>
    <n v="1.9"/>
    <n v="8"/>
    <n v="64.599999999999994"/>
    <n v="99.2"/>
  </r>
  <r>
    <x v="6"/>
    <x v="6"/>
    <d v="2026-03-11T00:00:00"/>
    <n v="359.4"/>
    <n v="77.099999999999994"/>
    <n v="4.6614785992217902"/>
    <n v="3.3"/>
    <n v="7"/>
    <n v="74.8"/>
    <n v="94.7"/>
  </r>
  <r>
    <x v="6"/>
    <x v="6"/>
    <d v="2026-03-22T00:00:00"/>
    <n v="158.1"/>
    <n v="34.5"/>
    <n v="4.5826086956521737"/>
    <n v="0.9"/>
    <n v="3"/>
    <n v="54.8"/>
    <n v="87.3"/>
  </r>
  <r>
    <x v="6"/>
    <x v="6"/>
    <d v="2026-03-17T00:00:00"/>
    <n v="159.9"/>
    <n v="31.1"/>
    <n v="5.141479099678457"/>
    <n v="1.6"/>
    <n v="3"/>
    <n v="65.5"/>
    <n v="93.9"/>
  </r>
  <r>
    <x v="6"/>
    <x v="6"/>
    <d v="2026-01-18T00:00:00"/>
    <n v="362.7"/>
    <n v="101.3"/>
    <n v="3.5804540967423493"/>
    <n v="0.7"/>
    <n v="8"/>
    <n v="63.6"/>
    <n v="87.6"/>
  </r>
  <r>
    <x v="6"/>
    <x v="6"/>
    <d v="2026-02-11T00:00:00"/>
    <n v="303.89999999999998"/>
    <n v="73.2"/>
    <n v="4.1516393442622945"/>
    <n v="4.3"/>
    <n v="8"/>
    <n v="34.700000000000003"/>
    <n v="98.5"/>
  </r>
  <r>
    <x v="6"/>
    <x v="6"/>
    <d v="2026-01-06T00:00:00"/>
    <n v="196.8"/>
    <n v="54.1"/>
    <n v="3.6377079482439929"/>
    <n v="1.9"/>
    <n v="8"/>
    <n v="41.4"/>
    <n v="96.3"/>
  </r>
  <r>
    <x v="6"/>
    <x v="6"/>
    <d v="2026-02-06T00:00:00"/>
    <n v="212.1"/>
    <n v="43.2"/>
    <n v="4.9097222222222214"/>
    <n v="3.9"/>
    <n v="6"/>
    <n v="42.3"/>
    <n v="97"/>
  </r>
  <r>
    <x v="6"/>
    <x v="6"/>
    <d v="2026-02-24T00:00:00"/>
    <n v="117.9"/>
    <n v="23.4"/>
    <n v="5.0384615384615392"/>
    <n v="3.4"/>
    <n v="5"/>
    <n v="69.400000000000006"/>
    <n v="85.5"/>
  </r>
  <r>
    <x v="6"/>
    <x v="6"/>
    <d v="2026-01-08T00:00:00"/>
    <n v="290.89999999999998"/>
    <n v="68.7"/>
    <n v="4.2343522561863169"/>
    <n v="2.8"/>
    <n v="3"/>
    <n v="44.6"/>
    <n v="95.6"/>
  </r>
  <r>
    <x v="6"/>
    <x v="6"/>
    <d v="2026-03-22T00:00:00"/>
    <n v="134.69999999999999"/>
    <n v="30.6"/>
    <n v="4.401960784313725"/>
    <n v="1.6"/>
    <n v="2"/>
    <n v="33.9"/>
    <n v="93.3"/>
  </r>
  <r>
    <x v="6"/>
    <x v="6"/>
    <d v="2026-02-04T00:00:00"/>
    <n v="321.10000000000002"/>
    <n v="76.7"/>
    <n v="4.1864406779661021"/>
    <n v="3.9"/>
    <n v="1"/>
    <n v="51.3"/>
    <n v="87"/>
  </r>
  <r>
    <x v="6"/>
    <x v="6"/>
    <d v="2026-02-17T00:00:00"/>
    <n v="431.5"/>
    <n v="82.8"/>
    <n v="5.2113526570048307"/>
    <n v="3.5"/>
    <n v="4"/>
    <n v="30.8"/>
    <n v="85.1"/>
  </r>
  <r>
    <x v="6"/>
    <x v="6"/>
    <d v="2026-03-26T00:00:00"/>
    <n v="202.8"/>
    <m/>
    <e v="#DIV/0!"/>
    <n v="1.1000000000000001"/>
    <n v="8"/>
    <n v="74.8"/>
    <n v="97.4"/>
  </r>
  <r>
    <x v="6"/>
    <x v="6"/>
    <d v="2026-03-29T00:00:00"/>
    <n v="237"/>
    <n v="76.900000000000006"/>
    <n v="3.0819245773732118"/>
    <n v="2.5"/>
    <n v="7"/>
    <n v="59.1"/>
    <n v="99.1"/>
  </r>
  <r>
    <x v="6"/>
    <x v="6"/>
    <d v="2026-03-17T00:00:00"/>
    <n v="139.69999999999999"/>
    <n v="27.7"/>
    <n v="5.0433212996389889"/>
    <n v="0.3"/>
    <n v="1"/>
    <n v="35.799999999999997"/>
    <n v="93.9"/>
  </r>
  <r>
    <x v="6"/>
    <x v="6"/>
    <d v="2026-03-30T00:00:00"/>
    <n v="377.6"/>
    <n v="96.7"/>
    <n v="3.9048603929679424"/>
    <n v="0.7"/>
    <n v="7"/>
    <n v="59.3"/>
    <n v="88.8"/>
  </r>
  <r>
    <x v="6"/>
    <x v="6"/>
    <d v="2026-01-19T00:00:00"/>
    <n v="376"/>
    <n v="78.400000000000006"/>
    <n v="4.7959183673469381"/>
    <n v="2.2000000000000002"/>
    <n v="1"/>
    <n v="37.9"/>
    <n v="92.5"/>
  </r>
  <r>
    <x v="6"/>
    <x v="6"/>
    <d v="2026-02-13T00:00:00"/>
    <n v="235.5"/>
    <n v="47.9"/>
    <n v="4.916492693110647"/>
    <n v="2.2999999999999998"/>
    <n v="6"/>
    <n v="50.9"/>
    <n v="96.9"/>
  </r>
  <r>
    <x v="6"/>
    <x v="6"/>
    <d v="2026-02-02T00:00:00"/>
    <n v="382.4"/>
    <n v="75.900000000000006"/>
    <n v="5.0382081686429503"/>
    <n v="0.7"/>
    <n v="4"/>
    <n v="47.3"/>
    <n v="99.6"/>
  </r>
  <r>
    <x v="6"/>
    <x v="6"/>
    <d v="2026-02-16T00:00:00"/>
    <n v="408.4"/>
    <n v="79.599999999999994"/>
    <n v="5.1306532663316586"/>
    <n v="1.1000000000000001"/>
    <n v="2"/>
    <n v="40.6"/>
    <n v="91.5"/>
  </r>
  <r>
    <x v="6"/>
    <x v="6"/>
    <d v="2026-02-18T00:00:00"/>
    <n v="363.3"/>
    <n v="68.5"/>
    <n v="5.3036496350364963"/>
    <n v="1.3"/>
    <n v="8"/>
    <n v="50.1"/>
    <n v="91"/>
  </r>
  <r>
    <x v="6"/>
    <x v="6"/>
    <d v="2026-02-10T00:00:00"/>
    <n v="88"/>
    <n v="17.5"/>
    <n v="5.0285714285714285"/>
    <n v="3.2"/>
    <n v="5"/>
    <n v="71.400000000000006"/>
    <n v="92.7"/>
  </r>
  <r>
    <x v="6"/>
    <x v="6"/>
    <d v="2026-03-31T00:00:00"/>
    <n v="308.60000000000002"/>
    <n v="104.8"/>
    <n v="2.9446564885496187"/>
    <n v="3"/>
    <n v="1"/>
    <n v="33"/>
    <n v="94.9"/>
  </r>
  <r>
    <x v="6"/>
    <x v="6"/>
    <d v="2026-01-18T00:00:00"/>
    <n v="194.3"/>
    <n v="41.3"/>
    <n v="4.7046004842615021"/>
    <n v="2.5"/>
    <n v="3"/>
    <n v="49.4"/>
    <n v="98.6"/>
  </r>
  <r>
    <x v="6"/>
    <x v="6"/>
    <d v="2026-03-31T00:00:00"/>
    <n v="157.30000000000001"/>
    <n v="53.2"/>
    <n v="2.9567669172932329"/>
    <n v="2.7"/>
    <n v="2"/>
    <n v="51.8"/>
    <n v="95.3"/>
  </r>
  <r>
    <x v="6"/>
    <x v="6"/>
    <d v="2026-01-25T00:00:00"/>
    <n v="186"/>
    <n v="43.9"/>
    <n v="4.236902050113895"/>
    <n v="3.5"/>
    <n v="2"/>
    <n v="42.3"/>
    <n v="87.4"/>
  </r>
  <r>
    <x v="6"/>
    <x v="6"/>
    <d v="2026-03-26T00:00:00"/>
    <n v="144.19999999999999"/>
    <n v="45.4"/>
    <n v="3.1762114537444934"/>
    <n v="2.6"/>
    <n v="6"/>
    <n v="67.8"/>
    <n v="87.3"/>
  </r>
  <r>
    <x v="6"/>
    <x v="6"/>
    <d v="2026-01-23T00:00:00"/>
    <n v="285.2"/>
    <n v="52.7"/>
    <n v="5.4117647058823524"/>
    <n v="3"/>
    <n v="5"/>
    <n v="61.3"/>
    <n v="98.4"/>
  </r>
  <r>
    <x v="6"/>
    <x v="6"/>
    <d v="2026-01-06T00:00:00"/>
    <n v="299.39999999999998"/>
    <n v="80.8"/>
    <n v="3.7054455445544554"/>
    <n v="0.7"/>
    <n v="3"/>
    <n v="64.099999999999994"/>
    <n v="87.5"/>
  </r>
  <r>
    <x v="6"/>
    <x v="6"/>
    <d v="2026-02-05T00:00:00"/>
    <n v="99.6"/>
    <n v="32.1"/>
    <n v="3.1028037383177569"/>
    <n v="0.8"/>
    <n v="8"/>
    <n v="52.4"/>
    <n v="87.4"/>
  </r>
  <r>
    <x v="6"/>
    <x v="6"/>
    <d v="2026-03-13T00:00:00"/>
    <n v="341.6"/>
    <n v="74.3"/>
    <n v="4.5975773889636615"/>
    <n v="4.4000000000000004"/>
    <n v="3"/>
    <n v="46.8"/>
    <n v="93.1"/>
  </r>
  <r>
    <x v="6"/>
    <x v="6"/>
    <d v="2026-01-03T00:00:00"/>
    <n v="110.9"/>
    <n v="21.8"/>
    <n v="5.0871559633027523"/>
    <n v="3.1"/>
    <n v="2"/>
    <n v="73.900000000000006"/>
    <n v="90.9"/>
  </r>
  <r>
    <x v="7"/>
    <x v="7"/>
    <d v="2026-02-07T00:00:00"/>
    <n v="444.5"/>
    <n v="87"/>
    <n v="5.1091954022988508"/>
    <n v="3.9"/>
    <n v="7"/>
    <n v="42.5"/>
    <n v="94.5"/>
  </r>
  <r>
    <x v="7"/>
    <x v="7"/>
    <d v="2026-01-21T00:00:00"/>
    <n v="251"/>
    <n v="71.099999999999994"/>
    <n v="3.5302390998593531"/>
    <n v="4.2"/>
    <n v="4"/>
    <n v="60.8"/>
    <n v="97.6"/>
  </r>
  <r>
    <x v="7"/>
    <x v="7"/>
    <d v="2026-01-01T00:00:00"/>
    <n v="106.3"/>
    <n v="23.6"/>
    <n v="4.5042372881355925"/>
    <n v="1.2"/>
    <n v="1"/>
    <n v="68.7"/>
    <n v="86.1"/>
  </r>
  <r>
    <x v="7"/>
    <x v="7"/>
    <d v="2026-02-05T00:00:00"/>
    <n v="327.5"/>
    <n v="96.9"/>
    <n v="3.3797729618163053"/>
    <n v="0.8"/>
    <n v="8"/>
    <n v="40.9"/>
    <n v="92.1"/>
  </r>
  <r>
    <x v="7"/>
    <x v="7"/>
    <d v="2026-02-21T00:00:00"/>
    <n v="124.4"/>
    <n v="23.9"/>
    <n v="5.2050209205020925"/>
    <n v="1.3"/>
    <n v="1"/>
    <n v="57.9"/>
    <n v="91.3"/>
  </r>
  <r>
    <x v="7"/>
    <x v="7"/>
    <d v="2026-03-27T00:00:00"/>
    <n v="118"/>
    <n v="24.1"/>
    <n v="4.8962655601659746"/>
    <n v="4"/>
    <n v="7"/>
    <n v="73.8"/>
    <n v="96.2"/>
  </r>
  <r>
    <x v="7"/>
    <x v="7"/>
    <d v="2026-01-21T00:00:00"/>
    <n v="441.2"/>
    <n v="88.4"/>
    <n v="4.990950226244343"/>
    <n v="4"/>
    <n v="1"/>
    <n v="38.1"/>
    <n v="98.9"/>
  </r>
  <r>
    <x v="7"/>
    <x v="7"/>
    <d v="2026-03-28T00:00:00"/>
    <n v="194.9"/>
    <n v="39.200000000000003"/>
    <n v="4.9719387755102042"/>
    <n v="0.8"/>
    <n v="1"/>
    <n v="41"/>
    <n v="92.1"/>
  </r>
  <r>
    <x v="7"/>
    <x v="7"/>
    <d v="2026-02-22T00:00:00"/>
    <n v="260.8"/>
    <n v="53.8"/>
    <n v="4.8475836431226771"/>
    <n v="3.2"/>
    <n v="8"/>
    <n v="50.2"/>
    <n v="85.3"/>
  </r>
  <r>
    <x v="7"/>
    <x v="7"/>
    <d v="2026-02-28T00:00:00"/>
    <n v="284"/>
    <n v="74"/>
    <n v="3.8378378378378377"/>
    <n v="4.2"/>
    <n v="3"/>
    <n v="68.900000000000006"/>
    <n v="89.1"/>
  </r>
  <r>
    <x v="7"/>
    <x v="7"/>
    <d v="2026-02-05T00:00:00"/>
    <n v="286.5"/>
    <n v="84.1"/>
    <n v="3.4066587395957195"/>
    <n v="4.4000000000000004"/>
    <n v="5"/>
    <n v="64.7"/>
    <n v="95.6"/>
  </r>
  <r>
    <x v="7"/>
    <x v="7"/>
    <d v="2026-01-01T00:00:00"/>
    <n v="176.5"/>
    <n v="51.4"/>
    <n v="3.4338521400778212"/>
    <n v="3.4"/>
    <n v="6"/>
    <n v="43.6"/>
    <n v="95.8"/>
  </r>
  <r>
    <x v="7"/>
    <x v="7"/>
    <d v="2026-03-31T00:00:00"/>
    <n v="303.60000000000002"/>
    <n v="90.6"/>
    <n v="3.3509933774834444"/>
    <n v="4.0999999999999996"/>
    <n v="6"/>
    <n v="64.900000000000006"/>
    <n v="90.7"/>
  </r>
  <r>
    <x v="7"/>
    <x v="7"/>
    <d v="2026-03-05T00:00:00"/>
    <n v="283.7"/>
    <n v="53.1"/>
    <n v="5.3427495291902067"/>
    <n v="1.7"/>
    <n v="8"/>
    <n v="73.5"/>
    <n v="94.6"/>
  </r>
  <r>
    <x v="7"/>
    <x v="7"/>
    <d v="2026-01-09T00:00:00"/>
    <n v="341.7"/>
    <n v="121"/>
    <n v="2.8239669421487603"/>
    <n v="2.4"/>
    <n v="6"/>
    <n v="32.700000000000003"/>
    <n v="94.6"/>
  </r>
  <r>
    <x v="7"/>
    <x v="7"/>
    <d v="2026-03-28T00:00:00"/>
    <n v="225.3"/>
    <n v="70.8"/>
    <n v="3.1822033898305087"/>
    <n v="2.9"/>
    <n v="7"/>
    <n v="46.9"/>
    <n v="86.1"/>
  </r>
  <r>
    <x v="7"/>
    <x v="7"/>
    <d v="2026-02-24T00:00:00"/>
    <n v="322.5"/>
    <n v="68.599999999999994"/>
    <n v="4.7011661807580181"/>
    <n v="0.2"/>
    <n v="8"/>
    <n v="33.5"/>
    <n v="93.9"/>
  </r>
  <r>
    <x v="7"/>
    <x v="7"/>
    <d v="2026-03-05T00:00:00"/>
    <n v="222.8"/>
    <n v="64.599999999999994"/>
    <n v="3.4489164086687309"/>
    <n v="2.9"/>
    <n v="2"/>
    <n v="53.8"/>
    <n v="99.7"/>
  </r>
  <r>
    <x v="7"/>
    <x v="7"/>
    <d v="2026-01-08T00:00:00"/>
    <n v="170.5"/>
    <n v="32.200000000000003"/>
    <n v="5.2950310559006208"/>
    <n v="0.7"/>
    <n v="1"/>
    <n v="43.9"/>
    <n v="96.1"/>
  </r>
  <r>
    <x v="7"/>
    <x v="7"/>
    <d v="2026-03-11T00:00:00"/>
    <n v="208.2"/>
    <n v="41.1"/>
    <n v="5.0656934306569337"/>
    <n v="4"/>
    <n v="6"/>
    <n v="30.1"/>
    <n v="94.9"/>
  </r>
  <r>
    <x v="7"/>
    <x v="7"/>
    <d v="2026-03-22T00:00:00"/>
    <n v="447.8"/>
    <n v="104.9"/>
    <n v="4.2688274547187799"/>
    <n v="0.3"/>
    <n v="7"/>
    <n v="65.2"/>
    <n v="90.4"/>
  </r>
  <r>
    <x v="7"/>
    <x v="7"/>
    <d v="2026-01-04T00:00:00"/>
    <n v="411.4"/>
    <n v="83.9"/>
    <n v="4.9034564958283662"/>
    <n v="0.5"/>
    <n v="8"/>
    <n v="53.8"/>
    <n v="96.5"/>
  </r>
  <r>
    <x v="7"/>
    <x v="7"/>
    <d v="2026-01-21T00:00:00"/>
    <n v="117"/>
    <n v="25.6"/>
    <n v="4.5703125"/>
    <n v="1.3"/>
    <n v="1"/>
    <n v="64.400000000000006"/>
    <n v="99.2"/>
  </r>
  <r>
    <x v="7"/>
    <x v="7"/>
    <d v="2026-03-30T00:00:00"/>
    <n v="105.1"/>
    <n v="30.1"/>
    <n v="3.4916943521594681"/>
    <n v="0.7"/>
    <n v="1"/>
    <n v="32.200000000000003"/>
    <n v="91.6"/>
  </r>
  <r>
    <x v="7"/>
    <x v="7"/>
    <d v="2026-01-29T00:00:00"/>
    <n v="336.6"/>
    <n v="90.2"/>
    <n v="3.7317073170731709"/>
    <n v="0.8"/>
    <n v="7"/>
    <n v="52.7"/>
    <n v="89.6"/>
  </r>
  <r>
    <x v="7"/>
    <x v="7"/>
    <d v="2026-01-01T00:00:00"/>
    <n v="84.7"/>
    <n v="27.9"/>
    <n v="3.0358422939068102"/>
    <m/>
    <n v="8"/>
    <n v="36.700000000000003"/>
    <n v="86.4"/>
  </r>
  <r>
    <x v="7"/>
    <x v="7"/>
    <d v="2026-02-05T00:00:00"/>
    <n v="227.2"/>
    <n v="61"/>
    <n v="3.7245901639344261"/>
    <n v="1.5"/>
    <n v="3"/>
    <n v="36.200000000000003"/>
    <n v="94"/>
  </r>
  <r>
    <x v="7"/>
    <x v="7"/>
    <d v="2026-01-24T00:00:00"/>
    <n v="272.60000000000002"/>
    <n v="55.4"/>
    <n v="4.9205776173285205"/>
    <n v="0.9"/>
    <n v="7"/>
    <n v="34.1"/>
    <n v="88.3"/>
  </r>
  <r>
    <x v="7"/>
    <x v="7"/>
    <d v="2026-03-08T00:00:00"/>
    <n v="230.2"/>
    <n v="46"/>
    <n v="5.0043478260869563"/>
    <n v="1.7"/>
    <n v="8"/>
    <n v="69.900000000000006"/>
    <n v="85.1"/>
  </r>
  <r>
    <x v="7"/>
    <x v="7"/>
    <d v="2026-03-19T00:00:00"/>
    <n v="436.3"/>
    <n v="108.3"/>
    <n v="4.0286241920590955"/>
    <n v="1.9"/>
    <n v="1"/>
    <n v="41.7"/>
    <n v="91.1"/>
  </r>
  <r>
    <x v="7"/>
    <x v="7"/>
    <d v="2026-03-28T00:00:00"/>
    <n v="339.4"/>
    <n v="68.400000000000006"/>
    <n v="4.9619883040935662"/>
    <n v="2"/>
    <n v="6"/>
    <n v="53.2"/>
    <n v="85.1"/>
  </r>
  <r>
    <x v="7"/>
    <x v="7"/>
    <d v="2026-02-03T00:00:00"/>
    <n v="156.5"/>
    <n v="46.8"/>
    <n v="3.3440170940170941"/>
    <n v="1.3"/>
    <n v="6"/>
    <n v="37"/>
    <n v="86.6"/>
  </r>
  <r>
    <x v="7"/>
    <x v="7"/>
    <d v="2026-03-08T00:00:00"/>
    <n v="362.9"/>
    <n v="69"/>
    <n v="5.2594202898550719"/>
    <n v="3.7"/>
    <n v="5"/>
    <n v="42.8"/>
    <n v="96.1"/>
  </r>
  <r>
    <x v="7"/>
    <x v="7"/>
    <d v="2026-01-05T00:00:00"/>
    <n v="153.69999999999999"/>
    <n v="32.1"/>
    <n v="4.7881619937694699"/>
    <n v="0.6"/>
    <n v="4"/>
    <n v="51.3"/>
    <n v="95.2"/>
  </r>
  <r>
    <x v="7"/>
    <x v="7"/>
    <d v="2026-01-30T00:00:00"/>
    <n v="174.8"/>
    <n v="48.4"/>
    <n v="3.6115702479338845"/>
    <n v="2.7"/>
    <n v="4"/>
    <n v="63"/>
    <n v="95.9"/>
  </r>
  <r>
    <x v="7"/>
    <x v="7"/>
    <d v="2026-01-26T00:00:00"/>
    <n v="333.6"/>
    <n v="103.6"/>
    <n v="3.2200772200772203"/>
    <n v="3.3"/>
    <n v="2"/>
    <n v="35.1"/>
    <n v="85.8"/>
  </r>
  <r>
    <x v="7"/>
    <x v="7"/>
    <d v="2026-01-23T00:00:00"/>
    <n v="325.2"/>
    <n v="108"/>
    <n v="3.0111111111111111"/>
    <n v="4.2"/>
    <n v="8"/>
    <n v="35.1"/>
    <n v="93.9"/>
  </r>
  <r>
    <x v="7"/>
    <x v="7"/>
    <d v="2026-02-25T00:00:00"/>
    <n v="339.8"/>
    <n v="87.9"/>
    <n v="3.8657565415244597"/>
    <n v="1.6"/>
    <n v="7"/>
    <n v="48.3"/>
    <n v="91.5"/>
  </r>
  <r>
    <x v="7"/>
    <x v="7"/>
    <d v="2026-03-06T00:00:00"/>
    <n v="179.6"/>
    <n v="33.9"/>
    <n v="5.2979351032448374"/>
    <n v="2.7"/>
    <n v="1"/>
    <n v="74"/>
    <n v="93.5"/>
  </r>
  <r>
    <x v="7"/>
    <x v="7"/>
    <d v="2026-01-10T00:00:00"/>
    <n v="254.3"/>
    <n v="61.9"/>
    <n v="4.1082390953150245"/>
    <n v="4"/>
    <n v="3"/>
    <n v="39.700000000000003"/>
    <n v="94.1"/>
  </r>
  <r>
    <x v="7"/>
    <x v="7"/>
    <d v="2026-01-12T00:00:00"/>
    <n v="232.3"/>
    <n v="55.2"/>
    <n v="4.208333333333333"/>
    <n v="3.9"/>
    <n v="4"/>
    <n v="56.6"/>
    <n v="97.6"/>
  </r>
  <r>
    <x v="7"/>
    <x v="7"/>
    <d v="2026-01-04T00:00:00"/>
    <n v="372.8"/>
    <n v="115.9"/>
    <n v="3.2165660051768765"/>
    <n v="1.5"/>
    <n v="8"/>
    <n v="35.6"/>
    <n v="95"/>
  </r>
  <r>
    <x v="8"/>
    <x v="8"/>
    <d v="2026-02-01T00:00:00"/>
    <n v="390.7"/>
    <n v="110.1"/>
    <n v="3.5485921889191645"/>
    <n v="3.5"/>
    <n v="8"/>
    <n v="58.2"/>
    <n v="89.1"/>
  </r>
  <r>
    <x v="8"/>
    <x v="8"/>
    <d v="2026-02-23T00:00:00"/>
    <n v="173.3"/>
    <n v="57.4"/>
    <n v="3.0191637630662025"/>
    <n v="0.3"/>
    <n v="1"/>
    <n v="75"/>
    <n v="90.2"/>
  </r>
  <r>
    <x v="8"/>
    <x v="8"/>
    <d v="2026-02-13T00:00:00"/>
    <n v="183.5"/>
    <n v="41.6"/>
    <n v="4.4110576923076925"/>
    <n v="4"/>
    <n v="1"/>
    <n v="53.2"/>
    <n v="87.9"/>
  </r>
  <r>
    <x v="8"/>
    <x v="8"/>
    <d v="2026-03-03T00:00:00"/>
    <n v="122.2"/>
    <n v="41.1"/>
    <n v="2.9732360097323602"/>
    <n v="2.2999999999999998"/>
    <n v="1"/>
    <n v="36.799999999999997"/>
    <n v="97.2"/>
  </r>
  <r>
    <x v="8"/>
    <x v="8"/>
    <d v="2026-03-27T00:00:00"/>
    <n v="83.5"/>
    <n v="16.8"/>
    <n v="4.9702380952380949"/>
    <n v="4.0999999999999996"/>
    <n v="3"/>
    <n v="33.299999999999997"/>
    <n v="99.2"/>
  </r>
  <r>
    <x v="8"/>
    <x v="8"/>
    <d v="2026-03-16T00:00:00"/>
    <n v="221"/>
    <n v="48.8"/>
    <n v="4.528688524590164"/>
    <n v="1.8"/>
    <n v="4"/>
    <n v="51.2"/>
    <n v="94.3"/>
  </r>
  <r>
    <x v="8"/>
    <x v="8"/>
    <d v="2026-01-19T00:00:00"/>
    <n v="445.4"/>
    <n v="104.6"/>
    <n v="4.2581261950286811"/>
    <n v="3.6"/>
    <n v="2"/>
    <n v="59.7"/>
    <n v="85.4"/>
  </r>
  <r>
    <x v="8"/>
    <x v="8"/>
    <d v="2026-02-27T00:00:00"/>
    <n v="415"/>
    <n v="129.80000000000001"/>
    <n v="3.1972265023112478"/>
    <n v="2.1"/>
    <n v="4"/>
    <n v="66.8"/>
    <n v="98.3"/>
  </r>
  <r>
    <x v="8"/>
    <x v="8"/>
    <d v="2026-01-25T00:00:00"/>
    <n v="426.8"/>
    <n v="89.7"/>
    <n v="4.7580824972129321"/>
    <n v="0.7"/>
    <n v="7"/>
    <n v="57.7"/>
    <n v="99"/>
  </r>
  <r>
    <x v="8"/>
    <x v="8"/>
    <d v="2026-03-10T00:00:00"/>
    <n v="441.7"/>
    <n v="155.19999999999999"/>
    <n v="2.8460051546391756"/>
    <n v="3.7"/>
    <n v="7"/>
    <n v="66.3"/>
    <n v="98.6"/>
  </r>
  <r>
    <x v="8"/>
    <x v="8"/>
    <d v="2026-03-11T00:00:00"/>
    <n v="288.5"/>
    <n v="99.9"/>
    <n v="2.8878878878878878"/>
    <n v="4.2"/>
    <n v="6"/>
    <n v="30.7"/>
    <n v="88.1"/>
  </r>
  <r>
    <x v="8"/>
    <x v="8"/>
    <d v="2026-02-08T00:00:00"/>
    <n v="179.3"/>
    <n v="56.1"/>
    <n v="3.1960784313725492"/>
    <n v="0.9"/>
    <n v="5"/>
    <n v="48.9"/>
    <n v="92.3"/>
  </r>
  <r>
    <x v="8"/>
    <x v="8"/>
    <d v="2026-02-14T00:00:00"/>
    <n v="399"/>
    <n v="131.5"/>
    <n v="3.0342205323193916"/>
    <n v="3.9"/>
    <n v="2"/>
    <n v="64.900000000000006"/>
    <n v="88.6"/>
  </r>
  <r>
    <x v="8"/>
    <x v="8"/>
    <d v="2026-01-12T00:00:00"/>
    <n v="322.2"/>
    <n v="92.7"/>
    <n v="3.4757281553398056"/>
    <n v="1.8"/>
    <n v="3"/>
    <n v="32.299999999999997"/>
    <n v="94.4"/>
  </r>
  <r>
    <x v="8"/>
    <x v="8"/>
    <d v="2026-01-22T00:00:00"/>
    <n v="217.6"/>
    <m/>
    <e v="#DIV/0!"/>
    <n v="4"/>
    <n v="2"/>
    <n v="64.7"/>
    <n v="85.4"/>
  </r>
  <r>
    <x v="8"/>
    <x v="8"/>
    <d v="2026-01-12T00:00:00"/>
    <n v="96.2"/>
    <n v="28.1"/>
    <n v="3.4234875444839856"/>
    <n v="3.8"/>
    <n v="7"/>
    <n v="61.5"/>
    <n v="90.6"/>
  </r>
  <r>
    <x v="8"/>
    <x v="8"/>
    <d v="2026-01-12T00:00:00"/>
    <n v="317.5"/>
    <n v="82.5"/>
    <n v="3.8484848484848486"/>
    <n v="1.8"/>
    <n v="7"/>
    <n v="46.6"/>
    <n v="91.7"/>
  </r>
  <r>
    <x v="8"/>
    <x v="8"/>
    <d v="2026-02-26T00:00:00"/>
    <n v="252.1"/>
    <n v="73.900000000000006"/>
    <n v="3.4113667117726654"/>
    <n v="1.4"/>
    <n v="1"/>
    <n v="36.799999999999997"/>
    <n v="95.4"/>
  </r>
  <r>
    <x v="8"/>
    <x v="8"/>
    <d v="2026-02-24T00:00:00"/>
    <n v="411.3"/>
    <n v="80.7"/>
    <n v="5.0966542750929369"/>
    <n v="2.2000000000000002"/>
    <n v="4"/>
    <n v="51"/>
    <n v="95.2"/>
  </r>
  <r>
    <x v="8"/>
    <x v="8"/>
    <d v="2026-03-25T00:00:00"/>
    <n v="343.1"/>
    <n v="65.900000000000006"/>
    <n v="5.2063732928679816"/>
    <n v="1.5"/>
    <n v="3"/>
    <n v="53.3"/>
    <n v="88.6"/>
  </r>
  <r>
    <x v="8"/>
    <x v="8"/>
    <d v="2026-02-23T00:00:00"/>
    <n v="229.7"/>
    <n v="48"/>
    <n v="4.7854166666666664"/>
    <n v="2.7"/>
    <n v="4"/>
    <n v="45.4"/>
    <n v="95.7"/>
  </r>
  <r>
    <x v="8"/>
    <x v="8"/>
    <d v="2026-03-01T00:00:00"/>
    <n v="98.5"/>
    <n v="19.7"/>
    <n v="5"/>
    <n v="4"/>
    <n v="5"/>
    <n v="46.2"/>
    <n v="95.2"/>
  </r>
  <r>
    <x v="8"/>
    <x v="8"/>
    <d v="2026-01-07T00:00:00"/>
    <n v="267.60000000000002"/>
    <n v="62.4"/>
    <n v="4.2884615384615392"/>
    <n v="1.8"/>
    <n v="4"/>
    <n v="33.5"/>
    <n v="91.7"/>
  </r>
  <r>
    <x v="8"/>
    <x v="8"/>
    <d v="2026-01-01T00:00:00"/>
    <n v="202.3"/>
    <n v="42.9"/>
    <n v="4.7156177156177161"/>
    <n v="0.9"/>
    <n v="3"/>
    <n v="71.8"/>
    <n v="94"/>
  </r>
  <r>
    <x v="8"/>
    <x v="8"/>
    <d v="2026-01-25T00:00:00"/>
    <n v="122.4"/>
    <n v="26.5"/>
    <n v="4.6188679245283017"/>
    <n v="2.6"/>
    <n v="1"/>
    <n v="68.3"/>
    <n v="99"/>
  </r>
  <r>
    <x v="8"/>
    <x v="8"/>
    <d v="2026-01-18T00:00:00"/>
    <n v="409.8"/>
    <n v="123"/>
    <n v="3.331707317073171"/>
    <n v="3.4"/>
    <n v="2"/>
    <n v="62.7"/>
    <n v="98.4"/>
  </r>
  <r>
    <x v="8"/>
    <x v="8"/>
    <d v="2026-02-01T00:00:00"/>
    <n v="186.3"/>
    <n v="48.1"/>
    <n v="3.8731808731808735"/>
    <n v="3.4"/>
    <n v="6"/>
    <n v="33.4"/>
    <n v="99"/>
  </r>
  <r>
    <x v="8"/>
    <x v="8"/>
    <d v="2026-03-31T00:00:00"/>
    <n v="357.4"/>
    <n v="106.1"/>
    <n v="3.3685202639019791"/>
    <n v="1.9"/>
    <n v="2"/>
    <n v="32.9"/>
    <n v="98.2"/>
  </r>
  <r>
    <x v="8"/>
    <x v="8"/>
    <d v="2026-02-22T00:00:00"/>
    <n v="149.6"/>
    <n v="50.1"/>
    <n v="2.9860279441117763"/>
    <n v="0.8"/>
    <n v="2"/>
    <n v="58.7"/>
    <n v="94.3"/>
  </r>
  <r>
    <x v="8"/>
    <x v="8"/>
    <d v="2026-03-31T00:00:00"/>
    <n v="310.39999999999998"/>
    <n v="93.9"/>
    <n v="3.305644302449414"/>
    <n v="0.3"/>
    <n v="1"/>
    <n v="73.599999999999994"/>
    <n v="85.3"/>
  </r>
  <r>
    <x v="8"/>
    <x v="8"/>
    <d v="2026-01-20T00:00:00"/>
    <n v="368.3"/>
    <n v="119.3"/>
    <n v="3.0871751886001677"/>
    <n v="1"/>
    <n v="5"/>
    <n v="57.3"/>
    <n v="94.2"/>
  </r>
  <r>
    <x v="8"/>
    <x v="8"/>
    <d v="2026-01-09T00:00:00"/>
    <n v="193.9"/>
    <n v="46.5"/>
    <n v="4.1698924731182796"/>
    <n v="1.6"/>
    <n v="1"/>
    <n v="35.1"/>
    <n v="90"/>
  </r>
  <r>
    <x v="8"/>
    <x v="8"/>
    <d v="2026-02-07T00:00:00"/>
    <n v="252.8"/>
    <n v="47.5"/>
    <n v="5.3221052631578951"/>
    <n v="2.9"/>
    <n v="5"/>
    <n v="64.599999999999994"/>
    <n v="95.4"/>
  </r>
  <r>
    <x v="8"/>
    <x v="8"/>
    <d v="2026-02-03T00:00:00"/>
    <n v="145.80000000000001"/>
    <n v="48.8"/>
    <n v="2.9877049180327875"/>
    <n v="4.4000000000000004"/>
    <n v="4"/>
    <n v="57.5"/>
    <n v="87.7"/>
  </r>
  <r>
    <x v="8"/>
    <x v="8"/>
    <d v="2026-01-02T00:00:00"/>
    <n v="350.1"/>
    <n v="73.099999999999994"/>
    <n v="4.7893296853625174"/>
    <n v="1.3"/>
    <n v="6"/>
    <n v="49.5"/>
    <n v="88.3"/>
  </r>
  <r>
    <x v="8"/>
    <x v="8"/>
    <d v="2026-02-23T00:00:00"/>
    <n v="144.69999999999999"/>
    <n v="35.700000000000003"/>
    <n v="4.0532212885154051"/>
    <n v="2.6"/>
    <n v="3"/>
    <n v="39"/>
    <n v="97.5"/>
  </r>
  <r>
    <x v="9"/>
    <x v="9"/>
    <d v="2026-02-25T00:00:00"/>
    <n v="138.5"/>
    <n v="49.3"/>
    <n v="2.8093306288032456"/>
    <n v="3.3"/>
    <n v="5"/>
    <n v="73.7"/>
    <n v="96.4"/>
  </r>
  <r>
    <x v="9"/>
    <x v="9"/>
    <d v="2026-01-31T00:00:00"/>
    <n v="101.4"/>
    <n v="19.600000000000001"/>
    <n v="5.1734693877551017"/>
    <n v="4.3"/>
    <n v="2"/>
    <n v="62.9"/>
    <n v="97.2"/>
  </r>
  <r>
    <x v="9"/>
    <x v="9"/>
    <d v="2026-02-28T00:00:00"/>
    <n v="197"/>
    <n v="40.799999999999997"/>
    <n v="4.8284313725490202"/>
    <n v="0.5"/>
    <n v="8"/>
    <n v="58"/>
    <n v="93.4"/>
  </r>
  <r>
    <x v="9"/>
    <x v="9"/>
    <d v="2026-02-19T00:00:00"/>
    <n v="395.8"/>
    <n v="73.599999999999994"/>
    <n v="5.3777173913043486"/>
    <n v="2"/>
    <n v="4"/>
    <n v="52"/>
    <n v="89.1"/>
  </r>
  <r>
    <x v="9"/>
    <x v="9"/>
    <d v="2026-01-29T00:00:00"/>
    <n v="229.6"/>
    <n v="66.400000000000006"/>
    <n v="3.4578313253012043"/>
    <n v="3.1"/>
    <n v="6"/>
    <n v="51.3"/>
    <n v="93"/>
  </r>
  <r>
    <x v="9"/>
    <x v="9"/>
    <d v="2026-01-11T00:00:00"/>
    <n v="447.7"/>
    <n v="143.5"/>
    <n v="3.1198606271777001"/>
    <n v="3.5"/>
    <n v="4"/>
    <n v="64.900000000000006"/>
    <n v="90.7"/>
  </r>
  <r>
    <x v="9"/>
    <x v="9"/>
    <d v="2026-02-26T00:00:00"/>
    <n v="126"/>
    <n v="27"/>
    <n v="4.666666666666667"/>
    <n v="3.2"/>
    <n v="5"/>
    <n v="52.5"/>
    <n v="92.4"/>
  </r>
  <r>
    <x v="9"/>
    <x v="9"/>
    <d v="2026-03-26T00:00:00"/>
    <n v="429.7"/>
    <n v="86"/>
    <n v="4.996511627906977"/>
    <n v="2.6"/>
    <n v="8"/>
    <n v="34"/>
    <n v="88.8"/>
  </r>
  <r>
    <x v="9"/>
    <x v="9"/>
    <d v="2026-02-26T00:00:00"/>
    <n v="405.9"/>
    <n v="98.8"/>
    <n v="4.1082995951417001"/>
    <n v="0.3"/>
    <n v="4"/>
    <n v="61.9"/>
    <n v="89.7"/>
  </r>
  <r>
    <x v="9"/>
    <x v="9"/>
    <d v="2026-01-30T00:00:00"/>
    <n v="304.60000000000002"/>
    <n v="81.2"/>
    <n v="3.7512315270935961"/>
    <n v="2.9"/>
    <n v="5"/>
    <n v="60.5"/>
    <n v="95.8"/>
  </r>
  <r>
    <x v="9"/>
    <x v="9"/>
    <d v="2026-02-28T00:00:00"/>
    <n v="267.10000000000002"/>
    <n v="67.400000000000006"/>
    <n v="3.9629080118694362"/>
    <m/>
    <n v="2"/>
    <n v="68.400000000000006"/>
    <n v="94.8"/>
  </r>
  <r>
    <x v="9"/>
    <x v="9"/>
    <d v="2026-03-18T00:00:00"/>
    <n v="195.6"/>
    <n v="63.5"/>
    <n v="3.0803149606299214"/>
    <n v="2.4"/>
    <n v="3"/>
    <n v="59.6"/>
    <n v="88.4"/>
  </r>
  <r>
    <x v="9"/>
    <x v="9"/>
    <d v="2026-02-13T00:00:00"/>
    <n v="209.9"/>
    <n v="63.8"/>
    <n v="3.2899686520376177"/>
    <n v="0.8"/>
    <n v="7"/>
    <n v="33.1"/>
    <n v="96.1"/>
  </r>
  <r>
    <x v="9"/>
    <x v="9"/>
    <d v="2026-02-20T00:00:00"/>
    <n v="449.9"/>
    <n v="94.9"/>
    <n v="4.7407797681770276"/>
    <n v="2.5"/>
    <n v="7"/>
    <n v="67.099999999999994"/>
    <n v="86.1"/>
  </r>
  <r>
    <x v="9"/>
    <x v="9"/>
    <d v="2026-01-22T00:00:00"/>
    <n v="139.9"/>
    <n v="26.3"/>
    <n v="5.3193916349809891"/>
    <n v="1.2"/>
    <n v="5"/>
    <n v="68.099999999999994"/>
    <n v="88.8"/>
  </r>
  <r>
    <x v="9"/>
    <x v="9"/>
    <d v="2026-02-11T00:00:00"/>
    <n v="185.6"/>
    <n v="62.7"/>
    <n v="2.9601275917065388"/>
    <n v="3.5"/>
    <n v="4"/>
    <n v="54.1"/>
    <n v="95.8"/>
  </r>
  <r>
    <x v="9"/>
    <x v="9"/>
    <d v="2026-02-18T00:00:00"/>
    <n v="148"/>
    <n v="34.799999999999997"/>
    <n v="4.2528735632183912"/>
    <n v="1.2"/>
    <n v="4"/>
    <n v="43.5"/>
    <n v="95.6"/>
  </r>
  <r>
    <x v="9"/>
    <x v="9"/>
    <d v="2026-01-31T00:00:00"/>
    <n v="173.5"/>
    <n v="53.9"/>
    <n v="3.2189239332096475"/>
    <n v="2"/>
    <n v="7"/>
    <n v="33.299999999999997"/>
    <n v="99.9"/>
  </r>
  <r>
    <x v="9"/>
    <x v="9"/>
    <d v="2026-03-20T00:00:00"/>
    <n v="298.39999999999998"/>
    <n v="64.7"/>
    <n v="4.6120556414219465"/>
    <m/>
    <n v="4"/>
    <n v="43.7"/>
    <n v="87.7"/>
  </r>
  <r>
    <x v="9"/>
    <x v="9"/>
    <d v="2026-03-15T00:00:00"/>
    <n v="178.9"/>
    <n v="35"/>
    <n v="5.1114285714285712"/>
    <n v="4.4000000000000004"/>
    <n v="2"/>
    <n v="36.1"/>
    <n v="96.3"/>
  </r>
  <r>
    <x v="9"/>
    <x v="9"/>
    <d v="2026-01-18T00:00:00"/>
    <n v="221.6"/>
    <n v="44.4"/>
    <n v="4.9909909909909906"/>
    <n v="4"/>
    <n v="3"/>
    <n v="33.1"/>
    <n v="93.4"/>
  </r>
  <r>
    <x v="9"/>
    <x v="9"/>
    <d v="2026-01-27T00:00:00"/>
    <n v="271.60000000000002"/>
    <n v="65"/>
    <n v="4.1784615384615389"/>
    <n v="3.4"/>
    <n v="5"/>
    <n v="59.1"/>
    <n v="96.8"/>
  </r>
  <r>
    <x v="9"/>
    <x v="9"/>
    <d v="2026-01-14T00:00:00"/>
    <n v="155.9"/>
    <n v="28.6"/>
    <n v="5.4510489510489508"/>
    <n v="2"/>
    <n v="1"/>
    <n v="73.8"/>
    <n v="87.1"/>
  </r>
  <r>
    <x v="9"/>
    <x v="9"/>
    <d v="2026-02-09T00:00:00"/>
    <n v="183.7"/>
    <n v="44.5"/>
    <n v="4.1280898876404493"/>
    <n v="3.2"/>
    <n v="2"/>
    <n v="73.8"/>
    <n v="88.4"/>
  </r>
  <r>
    <x v="9"/>
    <x v="9"/>
    <d v="2026-02-26T00:00:00"/>
    <n v="366.4"/>
    <n v="99.9"/>
    <n v="3.6676676676676672"/>
    <n v="3.3"/>
    <n v="2"/>
    <n v="38.5"/>
    <n v="88.2"/>
  </r>
  <r>
    <x v="9"/>
    <x v="9"/>
    <d v="2026-01-04T00:00:00"/>
    <n v="223"/>
    <n v="68.8"/>
    <n v="3.2412790697674421"/>
    <n v="2.7"/>
    <n v="4"/>
    <n v="68.599999999999994"/>
    <n v="94.7"/>
  </r>
  <r>
    <x v="9"/>
    <x v="9"/>
    <d v="2026-02-08T00:00:00"/>
    <n v="333.2"/>
    <n v="81.3"/>
    <n v="4.0984009840098405"/>
    <n v="1.6"/>
    <n v="5"/>
    <n v="58.8"/>
    <n v="97.9"/>
  </r>
  <r>
    <x v="9"/>
    <x v="9"/>
    <d v="2026-01-15T00:00:00"/>
    <n v="370.4"/>
    <n v="89.4"/>
    <n v="4.1431767337807601"/>
    <n v="2.8"/>
    <n v="5"/>
    <n v="67.400000000000006"/>
    <n v="99.6"/>
  </r>
  <r>
    <x v="9"/>
    <x v="9"/>
    <d v="2026-03-29T00:00:00"/>
    <n v="207.8"/>
    <n v="45"/>
    <n v="4.6177777777777784"/>
    <n v="4.4000000000000004"/>
    <n v="3"/>
    <n v="52.7"/>
    <n v="95.4"/>
  </r>
  <r>
    <x v="9"/>
    <x v="9"/>
    <d v="2026-01-27T00:00:00"/>
    <n v="358.8"/>
    <n v="124.3"/>
    <n v="2.8865647626709574"/>
    <n v="3.7"/>
    <n v="2"/>
    <n v="57.7"/>
    <n v="95.1"/>
  </r>
  <r>
    <x v="9"/>
    <x v="9"/>
    <d v="2026-01-18T00:00:00"/>
    <n v="251.9"/>
    <n v="60.3"/>
    <n v="4.1774461028192373"/>
    <n v="1.9"/>
    <n v="1"/>
    <n v="59.8"/>
    <n v="97.7"/>
  </r>
  <r>
    <x v="9"/>
    <x v="9"/>
    <d v="2026-02-11T00:00:00"/>
    <n v="138.69999999999999"/>
    <n v="29.1"/>
    <n v="4.7663230240549819"/>
    <n v="3.4"/>
    <n v="2"/>
    <n v="41.4"/>
    <n v="94.6"/>
  </r>
  <r>
    <x v="9"/>
    <x v="9"/>
    <d v="2026-02-03T00:00:00"/>
    <n v="280.39999999999998"/>
    <n v="69.599999999999994"/>
    <n v="4.0287356321839081"/>
    <n v="3.5"/>
    <n v="7"/>
    <n v="63"/>
    <n v="98.2"/>
  </r>
  <r>
    <x v="9"/>
    <x v="9"/>
    <d v="2026-03-20T00:00:00"/>
    <n v="324.5"/>
    <n v="69.2"/>
    <n v="4.6893063583815024"/>
    <n v="2.7"/>
    <n v="3"/>
    <n v="73.5"/>
    <n v="96.2"/>
  </r>
  <r>
    <x v="9"/>
    <x v="9"/>
    <d v="2026-02-24T00:00:00"/>
    <n v="305.3"/>
    <n v="83.5"/>
    <n v="3.6562874251497006"/>
    <n v="2.5"/>
    <n v="6"/>
    <n v="71.7"/>
    <n v="94.2"/>
  </r>
  <r>
    <x v="9"/>
    <x v="9"/>
    <d v="2026-02-10T00:00:00"/>
    <n v="342.6"/>
    <n v="97"/>
    <n v="3.5319587628865983"/>
    <n v="0.6"/>
    <n v="4"/>
    <n v="46.7"/>
    <n v="97.4"/>
  </r>
  <r>
    <x v="9"/>
    <x v="9"/>
    <d v="2026-01-28T00:00:00"/>
    <n v="274.3"/>
    <n v="83.8"/>
    <n v="3.2732696897374702"/>
    <n v="1.8"/>
    <n v="1"/>
    <n v="65"/>
    <n v="98.7"/>
  </r>
  <r>
    <x v="9"/>
    <x v="9"/>
    <d v="2026-03-15T00:00:00"/>
    <n v="170.6"/>
    <n v="57"/>
    <n v="2.9929824561403509"/>
    <n v="2.8"/>
    <n v="6"/>
    <n v="54.3"/>
    <n v="85.8"/>
  </r>
  <r>
    <x v="9"/>
    <x v="9"/>
    <d v="2026-03-10T00:00:00"/>
    <n v="250.6"/>
    <n v="57"/>
    <n v="4.3964912280701753"/>
    <n v="1.2"/>
    <n v="4"/>
    <n v="54.7"/>
    <n v="99.6"/>
  </r>
  <r>
    <x v="9"/>
    <x v="9"/>
    <d v="2026-03-21T00:00:00"/>
    <n v="90.1"/>
    <n v="21.9"/>
    <n v="4.1141552511415522"/>
    <m/>
    <n v="2"/>
    <n v="68.3"/>
    <n v="89.2"/>
  </r>
  <r>
    <x v="9"/>
    <x v="9"/>
    <d v="2026-02-27T00:00:00"/>
    <n v="221.3"/>
    <n v="60.6"/>
    <n v="3.6518151815181521"/>
    <n v="2.5"/>
    <n v="1"/>
    <n v="34.4"/>
    <n v="93"/>
  </r>
  <r>
    <x v="9"/>
    <x v="9"/>
    <d v="2026-02-23T00:00:00"/>
    <n v="438.7"/>
    <n v="102.9"/>
    <n v="4.2633624878522838"/>
    <n v="0.8"/>
    <n v="6"/>
    <n v="48.9"/>
    <n v="96.1"/>
  </r>
  <r>
    <x v="9"/>
    <x v="9"/>
    <d v="2026-01-22T00:00:00"/>
    <n v="372"/>
    <n v="109"/>
    <n v="3.4128440366972477"/>
    <n v="1.8"/>
    <n v="5"/>
    <n v="64.599999999999994"/>
    <n v="85.7"/>
  </r>
  <r>
    <x v="9"/>
    <x v="9"/>
    <d v="2026-03-15T00:00:00"/>
    <n v="326.7"/>
    <n v="65.900000000000006"/>
    <n v="4.9575113808801206"/>
    <n v="3.3"/>
    <n v="8"/>
    <n v="45.2"/>
    <n v="86.7"/>
  </r>
  <r>
    <x v="9"/>
    <x v="9"/>
    <d v="2026-03-12T00:00:00"/>
    <n v="261.5"/>
    <n v="52.1"/>
    <n v="5.0191938579654511"/>
    <n v="1.5"/>
    <n v="5"/>
    <n v="52.2"/>
    <n v="96.1"/>
  </r>
  <r>
    <x v="9"/>
    <x v="9"/>
    <d v="2026-02-23T00:00:00"/>
    <n v="146.4"/>
    <n v="27.9"/>
    <n v="5.2473118279569899"/>
    <n v="3"/>
    <n v="1"/>
    <n v="35.4"/>
    <n v="89.2"/>
  </r>
  <r>
    <x v="10"/>
    <x v="10"/>
    <d v="2026-01-28T00:00:00"/>
    <n v="322.5"/>
    <n v="83.4"/>
    <n v="3.8669064748201438"/>
    <n v="4.0999999999999996"/>
    <n v="8"/>
    <n v="36.4"/>
    <n v="87.1"/>
  </r>
  <r>
    <x v="10"/>
    <x v="10"/>
    <d v="2026-01-27T00:00:00"/>
    <n v="334.4"/>
    <n v="65.5"/>
    <n v="5.1053435114503811"/>
    <n v="2.4"/>
    <n v="5"/>
    <n v="70.7"/>
    <n v="97.7"/>
  </r>
  <r>
    <x v="10"/>
    <x v="10"/>
    <d v="2026-03-21T00:00:00"/>
    <n v="196.1"/>
    <n v="38.5"/>
    <n v="5.0935064935064931"/>
    <n v="3.3"/>
    <n v="5"/>
    <n v="52.8"/>
    <n v="95"/>
  </r>
  <r>
    <x v="10"/>
    <x v="10"/>
    <d v="2026-02-21T00:00:00"/>
    <n v="338"/>
    <n v="78.7"/>
    <n v="4.2947903430749683"/>
    <n v="1"/>
    <n v="7"/>
    <n v="60.5"/>
    <n v="98.5"/>
  </r>
  <r>
    <x v="10"/>
    <x v="10"/>
    <d v="2026-01-02T00:00:00"/>
    <n v="394.3"/>
    <n v="78.5"/>
    <n v="5.0229299363057329"/>
    <n v="0.7"/>
    <n v="6"/>
    <n v="58.6"/>
    <n v="97.4"/>
  </r>
  <r>
    <x v="10"/>
    <x v="10"/>
    <d v="2026-01-16T00:00:00"/>
    <n v="354.9"/>
    <n v="66.099999999999994"/>
    <n v="5.3691376701966718"/>
    <n v="3.2"/>
    <n v="4"/>
    <n v="39.700000000000003"/>
    <n v="92.3"/>
  </r>
  <r>
    <x v="10"/>
    <x v="10"/>
    <d v="2026-01-15T00:00:00"/>
    <n v="253.3"/>
    <n v="84.3"/>
    <n v="3.0047449584816137"/>
    <n v="3.4"/>
    <n v="4"/>
    <n v="68.7"/>
    <n v="95.9"/>
  </r>
  <r>
    <x v="10"/>
    <x v="10"/>
    <d v="2026-02-24T00:00:00"/>
    <n v="195.6"/>
    <n v="56.1"/>
    <n v="3.4866310160427805"/>
    <n v="4.3"/>
    <n v="8"/>
    <n v="33"/>
    <n v="97.5"/>
  </r>
  <r>
    <x v="10"/>
    <x v="10"/>
    <d v="2026-03-27T00:00:00"/>
    <n v="125.2"/>
    <n v="33.299999999999997"/>
    <n v="3.7597597597597603"/>
    <n v="3.1"/>
    <n v="7"/>
    <n v="69.099999999999994"/>
    <n v="95.8"/>
  </r>
  <r>
    <x v="10"/>
    <x v="10"/>
    <d v="2026-03-14T00:00:00"/>
    <n v="300.60000000000002"/>
    <n v="58"/>
    <n v="5.1827586206896559"/>
    <n v="0.9"/>
    <n v="1"/>
    <n v="60.3"/>
    <n v="89.1"/>
  </r>
  <r>
    <x v="10"/>
    <x v="10"/>
    <d v="2026-01-29T00:00:00"/>
    <n v="203.2"/>
    <n v="62.4"/>
    <n v="3.2564102564102564"/>
    <n v="2.4"/>
    <n v="2"/>
    <n v="53.9"/>
    <n v="87.9"/>
  </r>
  <r>
    <x v="10"/>
    <x v="10"/>
    <d v="2026-01-11T00:00:00"/>
    <n v="266.7"/>
    <n v="81.7"/>
    <n v="3.2643818849449202"/>
    <n v="1.3"/>
    <n v="8"/>
    <n v="74.599999999999994"/>
    <n v="92.9"/>
  </r>
  <r>
    <x v="10"/>
    <x v="10"/>
    <d v="2026-01-09T00:00:00"/>
    <n v="202"/>
    <n v="46.9"/>
    <n v="4.3070362473347545"/>
    <n v="1.9"/>
    <n v="5"/>
    <n v="62.6"/>
    <n v="94.8"/>
  </r>
  <r>
    <x v="10"/>
    <x v="10"/>
    <d v="2026-03-27T00:00:00"/>
    <n v="208.5"/>
    <n v="70.099999999999994"/>
    <n v="2.9743223965763197"/>
    <n v="2.5"/>
    <n v="5"/>
    <n v="68.3"/>
    <n v="95.7"/>
  </r>
  <r>
    <x v="10"/>
    <x v="10"/>
    <d v="2026-03-24T00:00:00"/>
    <n v="107.4"/>
    <n v="26.5"/>
    <n v="4.0528301886792457"/>
    <n v="2.4"/>
    <n v="3"/>
    <n v="69.5"/>
    <n v="96.7"/>
  </r>
  <r>
    <x v="10"/>
    <x v="10"/>
    <d v="2026-03-08T00:00:00"/>
    <n v="243.5"/>
    <n v="52.5"/>
    <n v="4.6380952380952385"/>
    <n v="3.3"/>
    <n v="8"/>
    <n v="34.1"/>
    <n v="92.7"/>
  </r>
  <r>
    <x v="10"/>
    <x v="10"/>
    <d v="2026-03-24T00:00:00"/>
    <n v="109.3"/>
    <n v="27.2"/>
    <n v="4.0183823529411766"/>
    <n v="1.8"/>
    <n v="4"/>
    <n v="32.299999999999997"/>
    <n v="90.7"/>
  </r>
  <r>
    <x v="10"/>
    <x v="10"/>
    <d v="2026-02-08T00:00:00"/>
    <n v="434.1"/>
    <n v="152.80000000000001"/>
    <n v="2.8409685863874343"/>
    <n v="4.2"/>
    <n v="2"/>
    <n v="63.6"/>
    <n v="96.3"/>
  </r>
  <r>
    <x v="10"/>
    <x v="10"/>
    <d v="2026-02-07T00:00:00"/>
    <n v="351.9"/>
    <n v="78"/>
    <n v="4.5115384615384615"/>
    <n v="4.4000000000000004"/>
    <n v="4"/>
    <n v="44.7"/>
    <n v="89.2"/>
  </r>
  <r>
    <x v="10"/>
    <x v="10"/>
    <d v="2026-03-12T00:00:00"/>
    <n v="293.8"/>
    <n v="67.900000000000006"/>
    <n v="4.3269513991163473"/>
    <n v="2.2999999999999998"/>
    <n v="6"/>
    <n v="70.2"/>
    <n v="96.4"/>
  </r>
  <r>
    <x v="10"/>
    <x v="10"/>
    <d v="2026-02-20T00:00:00"/>
    <n v="297"/>
    <n v="61.1"/>
    <n v="4.8608837970540097"/>
    <n v="3"/>
    <n v="2"/>
    <n v="44"/>
    <n v="91.6"/>
  </r>
  <r>
    <x v="10"/>
    <x v="10"/>
    <d v="2026-02-04T00:00:00"/>
    <n v="385.6"/>
    <n v="88.8"/>
    <n v="4.3423423423423424"/>
    <n v="0.7"/>
    <n v="1"/>
    <n v="38.1"/>
    <n v="97.1"/>
  </r>
  <r>
    <x v="10"/>
    <x v="10"/>
    <d v="2026-02-27T00:00:00"/>
    <n v="180.6"/>
    <n v="60.2"/>
    <n v="2.9999999999999996"/>
    <n v="1.1000000000000001"/>
    <n v="2"/>
    <n v="37"/>
    <n v="87.5"/>
  </r>
  <r>
    <x v="10"/>
    <x v="10"/>
    <d v="2026-01-08T00:00:00"/>
    <n v="88.1"/>
    <n v="20.100000000000001"/>
    <n v="4.3830845771144276"/>
    <n v="4.0999999999999996"/>
    <n v="2"/>
    <n v="68.099999999999994"/>
    <n v="97.9"/>
  </r>
  <r>
    <x v="10"/>
    <x v="10"/>
    <d v="2026-01-22T00:00:00"/>
    <n v="315.39999999999998"/>
    <n v="58.4"/>
    <n v="5.4006849315068495"/>
    <n v="3.7"/>
    <n v="6"/>
    <n v="50.1"/>
    <n v="89"/>
  </r>
  <r>
    <x v="10"/>
    <x v="10"/>
    <d v="2026-03-30T00:00:00"/>
    <n v="167.9"/>
    <n v="34.9"/>
    <n v="4.8108882521489971"/>
    <n v="4.2"/>
    <n v="6"/>
    <n v="30.9"/>
    <n v="97.3"/>
  </r>
  <r>
    <x v="10"/>
    <x v="10"/>
    <d v="2026-03-08T00:00:00"/>
    <n v="273.5"/>
    <n v="58.3"/>
    <n v="4.6912521440823332"/>
    <n v="0.6"/>
    <n v="4"/>
    <n v="51.7"/>
    <n v="95"/>
  </r>
  <r>
    <x v="10"/>
    <x v="10"/>
    <d v="2026-02-15T00:00:00"/>
    <n v="387.1"/>
    <n v="71.599999999999994"/>
    <n v="5.4064245810055871"/>
    <n v="1.5"/>
    <n v="6"/>
    <n v="61.6"/>
    <n v="85.7"/>
  </r>
  <r>
    <x v="10"/>
    <x v="10"/>
    <d v="2026-01-15T00:00:00"/>
    <n v="361.5"/>
    <n v="83.7"/>
    <n v="4.3189964157706093"/>
    <n v="2.7"/>
    <n v="7"/>
    <n v="60.3"/>
    <n v="98.4"/>
  </r>
  <r>
    <x v="10"/>
    <x v="10"/>
    <d v="2026-02-18T00:00:00"/>
    <n v="418.9"/>
    <n v="78.3"/>
    <n v="5.3499361430395913"/>
    <n v="1.9"/>
    <n v="5"/>
    <n v="31.1"/>
    <n v="92.8"/>
  </r>
  <r>
    <x v="10"/>
    <x v="10"/>
    <d v="2026-03-04T00:00:00"/>
    <n v="246.7"/>
    <n v="55.3"/>
    <n v="4.4611211573236886"/>
    <n v="1.5"/>
    <n v="3"/>
    <n v="55.4"/>
    <n v="90.5"/>
  </r>
  <r>
    <x v="10"/>
    <x v="10"/>
    <d v="2026-02-24T00:00:00"/>
    <n v="142.4"/>
    <n v="39.1"/>
    <n v="3.6419437340153453"/>
    <n v="3.6"/>
    <n v="7"/>
    <n v="42.5"/>
    <n v="90.4"/>
  </r>
  <r>
    <x v="10"/>
    <x v="10"/>
    <d v="2026-03-03T00:00:00"/>
    <n v="251.3"/>
    <n v="66.7"/>
    <n v="3.7676161919040481"/>
    <n v="1.5"/>
    <n v="2"/>
    <n v="37.9"/>
    <n v="94.1"/>
  </r>
  <r>
    <x v="10"/>
    <x v="10"/>
    <d v="2026-03-05T00:00:00"/>
    <n v="412.3"/>
    <n v="79.599999999999994"/>
    <n v="5.1796482412060305"/>
    <n v="2.7"/>
    <n v="5"/>
    <n v="52.1"/>
    <n v="99.8"/>
  </r>
  <r>
    <x v="10"/>
    <x v="10"/>
    <d v="2026-02-23T00:00:00"/>
    <n v="313.60000000000002"/>
    <n v="72.2"/>
    <n v="4.3434903047091415"/>
    <n v="3.9"/>
    <n v="2"/>
    <n v="33.6"/>
    <n v="90.2"/>
  </r>
  <r>
    <x v="10"/>
    <x v="10"/>
    <d v="2026-02-10T00:00:00"/>
    <n v="321.60000000000002"/>
    <n v="68.2"/>
    <n v="4.7155425219941352"/>
    <n v="2.8"/>
    <n v="7"/>
    <n v="42.2"/>
    <n v="91.7"/>
  </r>
  <r>
    <x v="10"/>
    <x v="10"/>
    <d v="2026-01-11T00:00:00"/>
    <n v="392.1"/>
    <n v="73"/>
    <n v="5.3712328767123294"/>
    <n v="0.4"/>
    <n v="7"/>
    <n v="33.200000000000003"/>
    <n v="92.1"/>
  </r>
  <r>
    <x v="10"/>
    <x v="10"/>
    <d v="2026-03-22T00:00:00"/>
    <n v="102.2"/>
    <n v="27.2"/>
    <n v="3.757352941176471"/>
    <n v="0.9"/>
    <n v="2"/>
    <n v="35.700000000000003"/>
    <n v="88.5"/>
  </r>
  <r>
    <x v="10"/>
    <x v="10"/>
    <d v="2026-03-11T00:00:00"/>
    <n v="289"/>
    <n v="78.5"/>
    <n v="3.6815286624203822"/>
    <n v="3.2"/>
    <n v="3"/>
    <n v="32.299999999999997"/>
    <n v="96"/>
  </r>
  <r>
    <x v="10"/>
    <x v="10"/>
    <d v="2026-01-27T00:00:00"/>
    <n v="353.8"/>
    <n v="104.9"/>
    <n v="3.3727359389895137"/>
    <n v="2.5"/>
    <n v="5"/>
    <n v="54.7"/>
    <n v="94.3"/>
  </r>
  <r>
    <x v="10"/>
    <x v="10"/>
    <d v="2026-03-01T00:00:00"/>
    <n v="370.1"/>
    <n v="94.5"/>
    <n v="3.9164021164021166"/>
    <n v="3.4"/>
    <n v="5"/>
    <n v="55.4"/>
    <n v="95.2"/>
  </r>
  <r>
    <x v="10"/>
    <x v="10"/>
    <d v="2026-03-13T00:00:00"/>
    <n v="116.1"/>
    <n v="29"/>
    <n v="4.0034482758620689"/>
    <n v="1.5"/>
    <n v="7"/>
    <n v="33.1"/>
    <n v="86.6"/>
  </r>
  <r>
    <x v="10"/>
    <x v="10"/>
    <d v="2026-02-08T00:00:00"/>
    <n v="291"/>
    <n v="55.3"/>
    <n v="5.2622061482820977"/>
    <n v="1.5"/>
    <n v="7"/>
    <n v="62.3"/>
    <n v="98.7"/>
  </r>
  <r>
    <x v="10"/>
    <x v="10"/>
    <d v="2026-02-02T00:00:00"/>
    <n v="139.9"/>
    <n v="46.6"/>
    <n v="3.0021459227467813"/>
    <n v="3.5"/>
    <n v="7"/>
    <n v="47.5"/>
    <n v="99.9"/>
  </r>
  <r>
    <x v="10"/>
    <x v="10"/>
    <d v="2026-03-28T00:00:00"/>
    <n v="228.7"/>
    <n v="73.2"/>
    <n v="3.12431693989071"/>
    <n v="3.1"/>
    <n v="3"/>
    <n v="44.5"/>
    <n v="99.5"/>
  </r>
  <r>
    <x v="10"/>
    <x v="10"/>
    <d v="2026-01-30T00:00:00"/>
    <n v="368.2"/>
    <n v="100"/>
    <n v="3.6819999999999999"/>
    <n v="0.6"/>
    <n v="7"/>
    <n v="69.099999999999994"/>
    <n v="90.6"/>
  </r>
  <r>
    <x v="10"/>
    <x v="10"/>
    <d v="2026-01-29T00:00:00"/>
    <n v="408"/>
    <n v="92.1"/>
    <n v="4.4299674267100979"/>
    <n v="3.6"/>
    <n v="3"/>
    <n v="56"/>
    <n v="93.3"/>
  </r>
  <r>
    <x v="10"/>
    <x v="10"/>
    <d v="2026-03-09T00:00:00"/>
    <n v="92.1"/>
    <n v="23.3"/>
    <n v="3.9527896995708152"/>
    <n v="1.4"/>
    <n v="4"/>
    <n v="65.400000000000006"/>
    <n v="86.2"/>
  </r>
  <r>
    <x v="10"/>
    <x v="10"/>
    <d v="2026-01-08T00:00:00"/>
    <n v="270.5"/>
    <n v="51.5"/>
    <n v="5.2524271844660193"/>
    <n v="1.8"/>
    <n v="1"/>
    <n v="35"/>
    <n v="90.5"/>
  </r>
  <r>
    <x v="10"/>
    <x v="10"/>
    <d v="2026-02-15T00:00:00"/>
    <n v="412.2"/>
    <n v="99.1"/>
    <n v="4.1594349142280524"/>
    <n v="2"/>
    <n v="1"/>
    <n v="32.9"/>
    <n v="90.2"/>
  </r>
  <r>
    <x v="10"/>
    <x v="10"/>
    <d v="2026-03-04T00:00:00"/>
    <n v="299.5"/>
    <n v="64"/>
    <n v="4.6796875"/>
    <n v="3.8"/>
    <n v="8"/>
    <n v="50.6"/>
    <n v="93.5"/>
  </r>
  <r>
    <x v="10"/>
    <x v="10"/>
    <d v="2026-01-20T00:00:00"/>
    <n v="81.599999999999994"/>
    <n v="17"/>
    <n v="4.8"/>
    <n v="4.4000000000000004"/>
    <n v="6"/>
    <n v="59.1"/>
    <n v="89.4"/>
  </r>
  <r>
    <x v="11"/>
    <x v="11"/>
    <d v="2026-03-19T00:00:00"/>
    <n v="177.9"/>
    <n v="61"/>
    <n v="2.916393442622951"/>
    <n v="2.2000000000000002"/>
    <n v="2"/>
    <n v="73.8"/>
    <n v="90.7"/>
  </r>
  <r>
    <x v="11"/>
    <x v="11"/>
    <d v="2026-01-21T00:00:00"/>
    <n v="217"/>
    <n v="64.5"/>
    <n v="3.364341085271318"/>
    <n v="1.3"/>
    <n v="2"/>
    <n v="57.4"/>
    <n v="87.6"/>
  </r>
  <r>
    <x v="11"/>
    <x v="11"/>
    <d v="2026-02-06T00:00:00"/>
    <n v="138.4"/>
    <n v="27.4"/>
    <n v="5.0510948905109494"/>
    <n v="3.2"/>
    <n v="1"/>
    <n v="60.1"/>
    <n v="93.3"/>
  </r>
  <r>
    <x v="11"/>
    <x v="11"/>
    <d v="2026-03-21T00:00:00"/>
    <n v="359.9"/>
    <n v="80.2"/>
    <n v="4.4875311720698248"/>
    <n v="3.5"/>
    <n v="4"/>
    <n v="42"/>
    <n v="87"/>
  </r>
  <r>
    <x v="11"/>
    <x v="11"/>
    <d v="2026-02-25T00:00:00"/>
    <n v="133.9"/>
    <n v="31.6"/>
    <n v="4.2373417721518987"/>
    <n v="2.6"/>
    <n v="3"/>
    <n v="37.6"/>
    <n v="86.2"/>
  </r>
  <r>
    <x v="11"/>
    <x v="11"/>
    <d v="2026-03-09T00:00:00"/>
    <n v="265.7"/>
    <n v="75.099999999999994"/>
    <n v="3.5379494007989347"/>
    <n v="0.9"/>
    <n v="8"/>
    <n v="73.5"/>
    <n v="89.4"/>
  </r>
  <r>
    <x v="11"/>
    <x v="11"/>
    <d v="2026-01-08T00:00:00"/>
    <n v="227.3"/>
    <n v="68.599999999999994"/>
    <n v="3.3134110787172015"/>
    <n v="0.7"/>
    <n v="8"/>
    <n v="34.1"/>
    <n v="88.2"/>
  </r>
  <r>
    <x v="11"/>
    <x v="11"/>
    <d v="2026-02-14T00:00:00"/>
    <n v="349.1"/>
    <n v="69.7"/>
    <n v="5.0086083213773316"/>
    <n v="3.7"/>
    <n v="4"/>
    <n v="34.6"/>
    <n v="88.8"/>
  </r>
  <r>
    <x v="11"/>
    <x v="11"/>
    <d v="2026-01-03T00:00:00"/>
    <n v="214.2"/>
    <n v="65.2"/>
    <n v="3.2852760736196314"/>
    <n v="1.1000000000000001"/>
    <n v="8"/>
    <n v="38.6"/>
    <n v="100"/>
  </r>
  <r>
    <x v="11"/>
    <x v="11"/>
    <d v="2026-03-28T00:00:00"/>
    <n v="346.2"/>
    <n v="63.9"/>
    <n v="5.4178403755868541"/>
    <n v="2.8"/>
    <n v="8"/>
    <n v="40.5"/>
    <n v="88.6"/>
  </r>
  <r>
    <x v="11"/>
    <x v="11"/>
    <d v="2026-03-12T00:00:00"/>
    <n v="291.7"/>
    <n v="71.8"/>
    <n v="4.0626740947075213"/>
    <n v="4.4000000000000004"/>
    <n v="3"/>
    <n v="57.5"/>
    <n v="86.3"/>
  </r>
  <r>
    <x v="11"/>
    <x v="11"/>
    <d v="2026-02-21T00:00:00"/>
    <n v="128.4"/>
    <n v="33.799999999999997"/>
    <n v="3.7988165680473376"/>
    <n v="2.6"/>
    <n v="6"/>
    <n v="40.9"/>
    <n v="86.8"/>
  </r>
  <r>
    <x v="11"/>
    <x v="11"/>
    <d v="2026-01-07T00:00:00"/>
    <n v="98.7"/>
    <n v="23.9"/>
    <n v="4.1297071129707117"/>
    <n v="4"/>
    <n v="8"/>
    <n v="42.9"/>
    <n v="85.1"/>
  </r>
  <r>
    <x v="11"/>
    <x v="11"/>
    <d v="2026-01-19T00:00:00"/>
    <n v="153.69999999999999"/>
    <n v="36.799999999999997"/>
    <n v="4.1766304347826084"/>
    <n v="2.4"/>
    <n v="1"/>
    <n v="31.8"/>
    <n v="95.7"/>
  </r>
  <r>
    <x v="11"/>
    <x v="11"/>
    <d v="2026-01-10T00:00:00"/>
    <n v="419.4"/>
    <n v="135.19999999999999"/>
    <n v="3.1020710059171597"/>
    <n v="3.8"/>
    <n v="4"/>
    <n v="55.8"/>
    <n v="87.2"/>
  </r>
  <r>
    <x v="11"/>
    <x v="11"/>
    <d v="2026-03-31T00:00:00"/>
    <n v="411.3"/>
    <n v="96.8"/>
    <n v="4.2489669421487601"/>
    <n v="2.9"/>
    <n v="2"/>
    <n v="34.9"/>
    <n v="88.7"/>
  </r>
  <r>
    <x v="11"/>
    <x v="11"/>
    <d v="2026-01-22T00:00:00"/>
    <n v="319.39999999999998"/>
    <n v="109.4"/>
    <n v="2.9195612431444236"/>
    <n v="4.4000000000000004"/>
    <n v="7"/>
    <n v="73.5"/>
    <n v="90"/>
  </r>
  <r>
    <x v="11"/>
    <x v="11"/>
    <d v="2026-02-10T00:00:00"/>
    <n v="128.80000000000001"/>
    <n v="25.1"/>
    <n v="5.1314741035856573"/>
    <n v="2.6"/>
    <n v="6"/>
    <n v="54.6"/>
    <n v="87.6"/>
  </r>
  <r>
    <x v="11"/>
    <x v="11"/>
    <d v="2026-03-17T00:00:00"/>
    <n v="90.4"/>
    <n v="19.3"/>
    <n v="4.6839378238341967"/>
    <n v="4.3"/>
    <n v="3"/>
    <n v="55.3"/>
    <n v="87.8"/>
  </r>
  <r>
    <x v="11"/>
    <x v="11"/>
    <d v="2026-03-25T00:00:00"/>
    <n v="373.1"/>
    <n v="97.8"/>
    <n v="3.8149284253578735"/>
    <n v="3"/>
    <n v="1"/>
    <n v="56.7"/>
    <n v="85.7"/>
  </r>
  <r>
    <x v="11"/>
    <x v="11"/>
    <d v="2026-02-22T00:00:00"/>
    <n v="189.3"/>
    <n v="65.099999999999994"/>
    <n v="2.9078341013824889"/>
    <n v="2.2999999999999998"/>
    <n v="4"/>
    <n v="61"/>
    <n v="92.2"/>
  </r>
  <r>
    <x v="11"/>
    <x v="11"/>
    <d v="2026-02-26T00:00:00"/>
    <n v="433.4"/>
    <n v="123"/>
    <n v="3.5235772357723576"/>
    <n v="3.4"/>
    <n v="6"/>
    <n v="66.7"/>
    <n v="87.7"/>
  </r>
  <r>
    <x v="11"/>
    <x v="11"/>
    <d v="2026-03-07T00:00:00"/>
    <n v="377"/>
    <n v="94.2"/>
    <n v="4.0021231422505306"/>
    <n v="0.4"/>
    <n v="4"/>
    <n v="44.4"/>
    <n v="86.2"/>
  </r>
  <r>
    <x v="11"/>
    <x v="11"/>
    <d v="2026-01-28T00:00:00"/>
    <n v="232.7"/>
    <n v="51.2"/>
    <n v="4.5449218749999991"/>
    <n v="2.4"/>
    <n v="3"/>
    <n v="38.299999999999997"/>
    <n v="94.3"/>
  </r>
  <r>
    <x v="11"/>
    <x v="11"/>
    <d v="2026-03-13T00:00:00"/>
    <n v="286.3"/>
    <n v="57.4"/>
    <n v="4.9878048780487809"/>
    <n v="1.7"/>
    <n v="7"/>
    <n v="35.5"/>
    <n v="98"/>
  </r>
  <r>
    <x v="11"/>
    <x v="11"/>
    <d v="2026-03-17T00:00:00"/>
    <n v="272.7"/>
    <n v="67.900000000000006"/>
    <n v="4.0162002945508091"/>
    <n v="0.9"/>
    <n v="1"/>
    <n v="35.6"/>
    <n v="88.5"/>
  </r>
  <r>
    <x v="11"/>
    <x v="11"/>
    <d v="2026-03-13T00:00:00"/>
    <n v="355.1"/>
    <n v="68.2"/>
    <n v="5.2067448680351909"/>
    <n v="3.7"/>
    <n v="1"/>
    <n v="67.099999999999994"/>
    <n v="89"/>
  </r>
  <r>
    <x v="11"/>
    <x v="11"/>
    <d v="2026-01-14T00:00:00"/>
    <n v="87.1"/>
    <n v="16.899999999999999"/>
    <n v="5.1538461538461542"/>
    <n v="3"/>
    <n v="4"/>
    <n v="74.099999999999994"/>
    <n v="92.6"/>
  </r>
  <r>
    <x v="11"/>
    <x v="11"/>
    <d v="2026-02-15T00:00:00"/>
    <n v="311.3"/>
    <n v="90.6"/>
    <n v="3.4359823399558502"/>
    <n v="4.4000000000000004"/>
    <n v="5"/>
    <n v="66.5"/>
    <n v="94.4"/>
  </r>
  <r>
    <x v="11"/>
    <x v="11"/>
    <d v="2026-01-05T00:00:00"/>
    <n v="114.5"/>
    <n v="31.7"/>
    <n v="3.6119873817034702"/>
    <n v="1.8"/>
    <n v="7"/>
    <n v="66.900000000000006"/>
    <n v="96.4"/>
  </r>
  <r>
    <x v="11"/>
    <x v="11"/>
    <d v="2026-03-19T00:00:00"/>
    <n v="292.60000000000002"/>
    <n v="70.099999999999994"/>
    <n v="4.1740370898716126"/>
    <n v="1.9"/>
    <n v="2"/>
    <n v="44.7"/>
    <n v="94.7"/>
  </r>
  <r>
    <x v="11"/>
    <x v="11"/>
    <d v="2026-01-15T00:00:00"/>
    <n v="294.7"/>
    <n v="54.6"/>
    <n v="5.3974358974358969"/>
    <n v="0.5"/>
    <n v="5"/>
    <n v="50.9"/>
    <n v="86.2"/>
  </r>
  <r>
    <x v="11"/>
    <x v="11"/>
    <d v="2026-02-25T00:00:00"/>
    <n v="305.89999999999998"/>
    <n v="67.099999999999994"/>
    <n v="4.5588673621460511"/>
    <n v="1.4"/>
    <n v="5"/>
    <n v="42"/>
    <n v="86.5"/>
  </r>
  <r>
    <x v="11"/>
    <x v="11"/>
    <d v="2026-03-04T00:00:00"/>
    <n v="111.4"/>
    <n v="24.7"/>
    <n v="4.5101214574898787"/>
    <n v="3.4"/>
    <n v="3"/>
    <n v="31.6"/>
    <n v="85.4"/>
  </r>
  <r>
    <x v="11"/>
    <x v="11"/>
    <d v="2026-03-12T00:00:00"/>
    <n v="141.1"/>
    <n v="40.799999999999997"/>
    <n v="3.4583333333333335"/>
    <n v="2.7"/>
    <n v="3"/>
    <n v="34.5"/>
    <n v="97.7"/>
  </r>
  <r>
    <x v="11"/>
    <x v="11"/>
    <d v="2026-02-06T00:00:00"/>
    <n v="248.7"/>
    <n v="76.5"/>
    <n v="3.2509803921568627"/>
    <n v="4.2"/>
    <n v="5"/>
    <n v="38.200000000000003"/>
    <n v="87.6"/>
  </r>
  <r>
    <x v="11"/>
    <x v="11"/>
    <d v="2026-01-12T00:00:00"/>
    <n v="200.8"/>
    <n v="45.2"/>
    <n v="4.4424778761061949"/>
    <n v="1"/>
    <n v="4"/>
    <n v="65.2"/>
    <m/>
  </r>
  <r>
    <x v="11"/>
    <x v="11"/>
    <d v="2026-01-13T00:00:00"/>
    <n v="277.7"/>
    <n v="74.099999999999994"/>
    <n v="3.7476383265856952"/>
    <n v="0.8"/>
    <n v="3"/>
    <n v="53.3"/>
    <n v="90.6"/>
  </r>
  <r>
    <x v="11"/>
    <x v="11"/>
    <d v="2026-03-19T00:00:00"/>
    <n v="177.9"/>
    <n v="61"/>
    <n v="2.916393442622951"/>
    <n v="2.2000000000000002"/>
    <n v="2"/>
    <n v="73.8"/>
    <n v="90.7"/>
  </r>
  <r>
    <x v="12"/>
    <x v="12"/>
    <d v="2026-02-03T00:00:00"/>
    <n v="422.8"/>
    <n v="85.9"/>
    <n v="4.9220023282887073"/>
    <n v="1.4"/>
    <n v="8"/>
    <n v="37"/>
    <n v="89.5"/>
  </r>
  <r>
    <x v="12"/>
    <x v="12"/>
    <d v="2026-02-12T00:00:00"/>
    <n v="183.1"/>
    <n v="61.3"/>
    <n v="2.9869494290375203"/>
    <n v="3.5"/>
    <n v="6"/>
    <n v="58.9"/>
    <n v="91"/>
  </r>
  <r>
    <x v="12"/>
    <x v="12"/>
    <d v="2026-03-15T00:00:00"/>
    <n v="150.30000000000001"/>
    <n v="51.5"/>
    <n v="2.9184466019417479"/>
    <n v="2.1"/>
    <n v="4"/>
    <n v="46.4"/>
    <n v="86"/>
  </r>
  <r>
    <x v="12"/>
    <x v="12"/>
    <d v="2026-03-16T00:00:00"/>
    <n v="430"/>
    <n v="150.69999999999999"/>
    <n v="2.8533510285335106"/>
    <n v="4"/>
    <n v="7"/>
    <n v="51.5"/>
    <n v="99.1"/>
  </r>
  <r>
    <x v="12"/>
    <x v="12"/>
    <d v="2026-02-20T00:00:00"/>
    <n v="428.3"/>
    <n v="128.4"/>
    <n v="3.3356697819314642"/>
    <n v="2.7"/>
    <n v="4"/>
    <n v="34.6"/>
    <n v="96.6"/>
  </r>
  <r>
    <x v="12"/>
    <x v="12"/>
    <d v="2026-02-28T00:00:00"/>
    <n v="425.2"/>
    <n v="82.6"/>
    <n v="5.1476997578692494"/>
    <n v="4.4000000000000004"/>
    <n v="4"/>
    <n v="55.7"/>
    <n v="88.5"/>
  </r>
  <r>
    <x v="12"/>
    <x v="12"/>
    <d v="2026-03-21T00:00:00"/>
    <n v="332.8"/>
    <n v="80.3"/>
    <n v="4.1444582814445834"/>
    <n v="2.7"/>
    <n v="4"/>
    <n v="50.8"/>
    <n v="88.8"/>
  </r>
  <r>
    <x v="12"/>
    <x v="12"/>
    <d v="2026-02-05T00:00:00"/>
    <n v="83"/>
    <n v="16.2"/>
    <n v="5.1234567901234573"/>
    <n v="3.5"/>
    <n v="1"/>
    <n v="71"/>
    <n v="96.2"/>
  </r>
  <r>
    <x v="12"/>
    <x v="12"/>
    <d v="2026-03-13T00:00:00"/>
    <n v="215.3"/>
    <n v="43.6"/>
    <n v="4.9380733944954134"/>
    <n v="0.3"/>
    <n v="2"/>
    <n v="50.5"/>
    <n v="95.1"/>
  </r>
  <r>
    <x v="12"/>
    <x v="12"/>
    <d v="2026-03-10T00:00:00"/>
    <n v="340.4"/>
    <n v="82"/>
    <n v="4.1512195121951221"/>
    <n v="3.8"/>
    <n v="6"/>
    <n v="33.200000000000003"/>
    <n v="97.9"/>
  </r>
  <r>
    <x v="12"/>
    <x v="12"/>
    <d v="2026-01-17T00:00:00"/>
    <n v="300.2"/>
    <n v="56.3"/>
    <n v="5.3321492007104796"/>
    <n v="1.5"/>
    <n v="7"/>
    <n v="59"/>
    <n v="89.9"/>
  </r>
  <r>
    <x v="12"/>
    <x v="12"/>
    <d v="2026-02-17T00:00:00"/>
    <n v="173.9"/>
    <n v="61.1"/>
    <n v="2.8461538461538463"/>
    <n v="3.6"/>
    <n v="6"/>
    <n v="40.9"/>
    <n v="94.9"/>
  </r>
  <r>
    <x v="12"/>
    <x v="12"/>
    <d v="2026-03-20T00:00:00"/>
    <n v="353.5"/>
    <n v="98"/>
    <n v="3.6071428571428572"/>
    <n v="1.6"/>
    <n v="8"/>
    <n v="61.9"/>
    <n v="89.5"/>
  </r>
  <r>
    <x v="12"/>
    <x v="12"/>
    <d v="2026-02-24T00:00:00"/>
    <n v="270.7"/>
    <n v="89.2"/>
    <n v="3.0347533632286994"/>
    <n v="3.1"/>
    <n v="3"/>
    <n v="74.2"/>
    <n v="92.2"/>
  </r>
  <r>
    <x v="12"/>
    <x v="12"/>
    <d v="2026-02-18T00:00:00"/>
    <n v="109.7"/>
    <n v="20.3"/>
    <n v="5.4039408866995071"/>
    <n v="4"/>
    <n v="3"/>
    <n v="59.4"/>
    <n v="90.2"/>
  </r>
  <r>
    <x v="12"/>
    <x v="12"/>
    <d v="2026-01-11T00:00:00"/>
    <n v="218"/>
    <n v="56"/>
    <n v="3.8928571428571428"/>
    <n v="2.6"/>
    <n v="4"/>
    <n v="43.5"/>
    <n v="97.4"/>
  </r>
  <r>
    <x v="12"/>
    <x v="12"/>
    <d v="2026-01-18T00:00:00"/>
    <n v="372.5"/>
    <n v="79.900000000000006"/>
    <n v="4.6620775969962454"/>
    <n v="0.5"/>
    <n v="6"/>
    <n v="32.4"/>
    <n v="91.6"/>
  </r>
  <r>
    <x v="12"/>
    <x v="12"/>
    <d v="2026-02-16T00:00:00"/>
    <n v="122.1"/>
    <n v="28.2"/>
    <n v="4.3297872340425529"/>
    <n v="2.7"/>
    <n v="3"/>
    <n v="60.7"/>
    <n v="93.3"/>
  </r>
  <r>
    <x v="12"/>
    <x v="12"/>
    <d v="2026-03-06T00:00:00"/>
    <n v="186"/>
    <n v="39.4"/>
    <n v="4.7208121827411169"/>
    <n v="3.5"/>
    <n v="7"/>
    <n v="61.6"/>
    <n v="86.2"/>
  </r>
  <r>
    <x v="12"/>
    <x v="12"/>
    <d v="2026-01-20T00:00:00"/>
    <n v="146.19999999999999"/>
    <n v="27.1"/>
    <n v="5.3948339483394827"/>
    <n v="0.4"/>
    <n v="7"/>
    <n v="40.1"/>
    <n v="88.7"/>
  </r>
  <r>
    <x v="12"/>
    <x v="12"/>
    <d v="2026-01-18T00:00:00"/>
    <n v="368.8"/>
    <n v="87.5"/>
    <n v="4.2148571428571433"/>
    <n v="2.6"/>
    <n v="3"/>
    <n v="38.700000000000003"/>
    <n v="97.5"/>
  </r>
  <r>
    <x v="12"/>
    <x v="12"/>
    <d v="2026-01-03T00:00:00"/>
    <n v="164.5"/>
    <n v="34.5"/>
    <n v="4.7681159420289854"/>
    <n v="0.8"/>
    <n v="1"/>
    <n v="56.5"/>
    <n v="87.5"/>
  </r>
  <r>
    <x v="12"/>
    <x v="12"/>
    <d v="2026-02-21T00:00:00"/>
    <n v="436.1"/>
    <n v="123.4"/>
    <n v="3.5340356564019451"/>
    <n v="1.9"/>
    <n v="8"/>
    <n v="66"/>
    <n v="94.7"/>
  </r>
  <r>
    <x v="12"/>
    <x v="12"/>
    <d v="2026-01-20T00:00:00"/>
    <n v="390.4"/>
    <n v="90.6"/>
    <n v="4.3090507726269314"/>
    <n v="4.4000000000000004"/>
    <n v="1"/>
    <n v="30.5"/>
    <n v="99"/>
  </r>
  <r>
    <x v="12"/>
    <x v="12"/>
    <d v="2026-02-22T00:00:00"/>
    <n v="93.3"/>
    <n v="21.8"/>
    <n v="4.2798165137614674"/>
    <n v="3.8"/>
    <n v="5"/>
    <n v="70.099999999999994"/>
    <n v="93.4"/>
  </r>
  <r>
    <x v="12"/>
    <x v="12"/>
    <d v="2026-02-19T00:00:00"/>
    <n v="234.1"/>
    <n v="47.5"/>
    <n v="4.9284210526315793"/>
    <n v="3.1"/>
    <n v="1"/>
    <n v="30.6"/>
    <n v="88.8"/>
  </r>
  <r>
    <x v="12"/>
    <x v="12"/>
    <d v="2026-03-18T00:00:00"/>
    <n v="438.6"/>
    <n v="97"/>
    <n v="4.5216494845360824"/>
    <n v="4"/>
    <n v="5"/>
    <n v="72.599999999999994"/>
    <n v="88.2"/>
  </r>
  <r>
    <x v="12"/>
    <x v="12"/>
    <d v="2026-01-18T00:00:00"/>
    <n v="396.3"/>
    <n v="86.5"/>
    <n v="4.5815028901734109"/>
    <n v="3.4"/>
    <n v="8"/>
    <n v="65.2"/>
    <n v="99.2"/>
  </r>
  <r>
    <x v="12"/>
    <x v="12"/>
    <d v="2026-03-26T00:00:00"/>
    <n v="261.3"/>
    <n v="58.3"/>
    <n v="4.4819897084048028"/>
    <n v="2.7"/>
    <n v="1"/>
    <n v="46.5"/>
    <n v="94.1"/>
  </r>
  <r>
    <x v="12"/>
    <x v="12"/>
    <d v="2026-01-25T00:00:00"/>
    <n v="151.5"/>
    <n v="33.1"/>
    <n v="4.5770392749244708"/>
    <n v="2.7"/>
    <n v="3"/>
    <n v="55.1"/>
    <n v="93.4"/>
  </r>
  <r>
    <x v="12"/>
    <x v="12"/>
    <d v="2026-02-27T00:00:00"/>
    <n v="358.6"/>
    <n v="82.4"/>
    <n v="4.3519417475728153"/>
    <n v="0.6"/>
    <n v="7"/>
    <n v="43"/>
    <n v="90.9"/>
  </r>
  <r>
    <x v="12"/>
    <x v="12"/>
    <d v="2026-01-04T00:00:00"/>
    <n v="429.3"/>
    <n v="80.099999999999994"/>
    <n v="5.3595505617977537"/>
    <n v="1.2"/>
    <n v="6"/>
    <n v="70.400000000000006"/>
    <n v="94.9"/>
  </r>
  <r>
    <x v="12"/>
    <x v="12"/>
    <d v="2026-03-14T00:00:00"/>
    <n v="307.89999999999998"/>
    <n v="107"/>
    <n v="2.8775700934579436"/>
    <n v="1"/>
    <n v="6"/>
    <n v="67.5"/>
    <n v="98.8"/>
  </r>
  <r>
    <x v="12"/>
    <x v="12"/>
    <d v="2026-03-08T00:00:00"/>
    <n v="122.9"/>
    <n v="33.799999999999997"/>
    <n v="3.6360946745562135"/>
    <n v="0.4"/>
    <n v="2"/>
    <n v="45"/>
    <n v="98.3"/>
  </r>
  <r>
    <x v="12"/>
    <x v="12"/>
    <d v="2026-01-09T00:00:00"/>
    <n v="206.1"/>
    <n v="41.2"/>
    <n v="5.0024271844660193"/>
    <n v="2.7"/>
    <n v="7"/>
    <n v="55.5"/>
    <n v="90.1"/>
  </r>
  <r>
    <x v="13"/>
    <x v="13"/>
    <d v="2026-02-13T00:00:00"/>
    <n v="182.8"/>
    <n v="54.1"/>
    <n v="3.378927911275416"/>
    <n v="3.5"/>
    <n v="2"/>
    <n v="34.200000000000003"/>
    <n v="86.5"/>
  </r>
  <r>
    <x v="13"/>
    <x v="13"/>
    <d v="2026-03-18T00:00:00"/>
    <n v="103.5"/>
    <n v="27"/>
    <n v="3.8333333333333335"/>
    <n v="4.5"/>
    <n v="5"/>
    <n v="73.7"/>
    <n v="97.9"/>
  </r>
  <r>
    <x v="13"/>
    <x v="13"/>
    <d v="2026-01-25T00:00:00"/>
    <n v="114.9"/>
    <n v="25.1"/>
    <n v="4.5776892430278888"/>
    <n v="1.7"/>
    <n v="7"/>
    <n v="51"/>
    <n v="95.9"/>
  </r>
  <r>
    <x v="13"/>
    <x v="13"/>
    <d v="2026-03-27T00:00:00"/>
    <n v="399.7"/>
    <n v="80.099999999999994"/>
    <n v="4.9900124843945068"/>
    <n v="1.3"/>
    <n v="2"/>
    <n v="47.2"/>
    <n v="85.6"/>
  </r>
  <r>
    <x v="13"/>
    <x v="13"/>
    <d v="2026-03-12T00:00:00"/>
    <n v="202.4"/>
    <n v="43.1"/>
    <n v="4.6960556844547563"/>
    <n v="1.4"/>
    <n v="5"/>
    <n v="40.4"/>
    <n v="95.8"/>
  </r>
  <r>
    <x v="13"/>
    <x v="13"/>
    <d v="2026-02-27T00:00:00"/>
    <n v="335.1"/>
    <n v="82.4"/>
    <n v="4.066747572815534"/>
    <n v="0.3"/>
    <n v="5"/>
    <n v="61.8"/>
    <n v="95.5"/>
  </r>
  <r>
    <x v="13"/>
    <x v="13"/>
    <d v="2026-02-13T00:00:00"/>
    <n v="425.7"/>
    <n v="102.1"/>
    <n v="4.1694417238001957"/>
    <n v="3.7"/>
    <n v="5"/>
    <n v="62.7"/>
    <n v="97.6"/>
  </r>
  <r>
    <x v="13"/>
    <x v="13"/>
    <d v="2026-01-06T00:00:00"/>
    <n v="197.7"/>
    <n v="48.5"/>
    <n v="4.0762886597938142"/>
    <n v="4.0999999999999996"/>
    <n v="7"/>
    <n v="47.4"/>
    <n v="95"/>
  </r>
  <r>
    <x v="13"/>
    <x v="13"/>
    <d v="2026-01-15T00:00:00"/>
    <n v="131.69999999999999"/>
    <n v="24.6"/>
    <n v="5.3536585365853648"/>
    <n v="1.5"/>
    <n v="8"/>
    <n v="35.200000000000003"/>
    <n v="88.5"/>
  </r>
  <r>
    <x v="13"/>
    <x v="13"/>
    <d v="2026-03-25T00:00:00"/>
    <n v="116.6"/>
    <n v="28.3"/>
    <n v="4.1201413427561837"/>
    <n v="2"/>
    <n v="5"/>
    <n v="31.5"/>
    <n v="90.6"/>
  </r>
  <r>
    <x v="13"/>
    <x v="13"/>
    <d v="2026-03-09T00:00:00"/>
    <n v="122.1"/>
    <n v="41.1"/>
    <n v="2.9708029197080288"/>
    <n v="2.1"/>
    <n v="6"/>
    <n v="53.1"/>
    <n v="86.6"/>
  </r>
  <r>
    <x v="13"/>
    <x v="13"/>
    <d v="2026-03-04T00:00:00"/>
    <n v="304.60000000000002"/>
    <n v="77.7"/>
    <n v="3.9202059202059205"/>
    <n v="1.1000000000000001"/>
    <n v="2"/>
    <n v="45.5"/>
    <n v="86.7"/>
  </r>
  <r>
    <x v="13"/>
    <x v="13"/>
    <d v="2026-02-07T00:00:00"/>
    <n v="122.6"/>
    <n v="42.9"/>
    <n v="2.8578088578088576"/>
    <n v="1.6"/>
    <n v="8"/>
    <n v="67.400000000000006"/>
    <n v="98.8"/>
  </r>
  <r>
    <x v="13"/>
    <x v="13"/>
    <d v="2026-02-21T00:00:00"/>
    <n v="355"/>
    <n v="68.099999999999994"/>
    <n v="5.2129221732745963"/>
    <n v="1.9"/>
    <n v="3"/>
    <n v="52.3"/>
    <n v="92.5"/>
  </r>
  <r>
    <x v="13"/>
    <x v="13"/>
    <d v="2026-01-14T00:00:00"/>
    <n v="83.9"/>
    <n v="24"/>
    <n v="3.4958333333333336"/>
    <n v="2.4"/>
    <n v="4"/>
    <n v="50.1"/>
    <n v="90.9"/>
  </r>
  <r>
    <x v="13"/>
    <x v="13"/>
    <d v="2026-01-08T00:00:00"/>
    <n v="447.2"/>
    <n v="87"/>
    <n v="5.1402298850574715"/>
    <n v="0.7"/>
    <n v="3"/>
    <n v="41.2"/>
    <n v="95.7"/>
  </r>
  <r>
    <x v="13"/>
    <x v="13"/>
    <d v="2026-01-26T00:00:00"/>
    <n v="448.4"/>
    <n v="85.3"/>
    <n v="5.2567409144196953"/>
    <n v="4"/>
    <n v="5"/>
    <n v="37.200000000000003"/>
    <n v="99"/>
  </r>
  <r>
    <x v="13"/>
    <x v="13"/>
    <d v="2026-02-04T00:00:00"/>
    <n v="273.8"/>
    <n v="78"/>
    <n v="3.5102564102564102"/>
    <n v="4.4000000000000004"/>
    <n v="2"/>
    <n v="52.3"/>
    <n v="92.7"/>
  </r>
  <r>
    <x v="13"/>
    <x v="13"/>
    <d v="2026-01-22T00:00:00"/>
    <n v="407.3"/>
    <n v="98.6"/>
    <n v="4.1308316430020291"/>
    <n v="1.8"/>
    <n v="7"/>
    <n v="34.6"/>
    <n v="92.2"/>
  </r>
  <r>
    <x v="13"/>
    <x v="13"/>
    <d v="2026-03-04T00:00:00"/>
    <n v="361"/>
    <n v="70.2"/>
    <n v="5.1424501424501425"/>
    <n v="3.7"/>
    <n v="3"/>
    <n v="33"/>
    <n v="95.6"/>
  </r>
  <r>
    <x v="13"/>
    <x v="13"/>
    <d v="2026-03-14T00:00:00"/>
    <n v="410.4"/>
    <n v="75.099999999999994"/>
    <n v="5.4647137150466047"/>
    <n v="0.8"/>
    <n v="3"/>
    <n v="65.099999999999994"/>
    <n v="92.3"/>
  </r>
  <r>
    <x v="13"/>
    <x v="13"/>
    <d v="2026-01-15T00:00:00"/>
    <n v="115.1"/>
    <n v="23.7"/>
    <n v="4.8565400843881852"/>
    <n v="0.4"/>
    <n v="3"/>
    <n v="59.9"/>
    <n v="87.6"/>
  </r>
  <r>
    <x v="13"/>
    <x v="13"/>
    <d v="2026-02-02T00:00:00"/>
    <n v="149.9"/>
    <n v="31.8"/>
    <n v="4.7138364779874218"/>
    <n v="3.6"/>
    <n v="2"/>
    <n v="53.4"/>
    <n v="90.6"/>
  </r>
  <r>
    <x v="13"/>
    <x v="13"/>
    <d v="2026-03-31T00:00:00"/>
    <n v="358.3"/>
    <n v="94.6"/>
    <n v="3.7875264270613109"/>
    <n v="1.9"/>
    <n v="8"/>
    <n v="38.1"/>
    <n v="87"/>
  </r>
  <r>
    <x v="13"/>
    <x v="13"/>
    <d v="2026-02-20T00:00:00"/>
    <n v="172.5"/>
    <n v="36.5"/>
    <n v="4.7260273972602738"/>
    <n v="3"/>
    <n v="7"/>
    <n v="39.9"/>
    <n v="86.2"/>
  </r>
  <r>
    <x v="13"/>
    <x v="13"/>
    <d v="2026-03-31T00:00:00"/>
    <n v="128.19999999999999"/>
    <n v="40.5"/>
    <n v="3.1654320987654319"/>
    <n v="2.6"/>
    <n v="8"/>
    <n v="47.8"/>
    <n v="93.6"/>
  </r>
  <r>
    <x v="13"/>
    <x v="13"/>
    <d v="2026-02-09T00:00:00"/>
    <n v="416.6"/>
    <n v="112.9"/>
    <n v="3.6899911426040743"/>
    <n v="2.5"/>
    <n v="4"/>
    <n v="59.4"/>
    <n v="93.7"/>
  </r>
  <r>
    <x v="13"/>
    <x v="13"/>
    <d v="2026-01-02T00:00:00"/>
    <n v="422.4"/>
    <n v="78.7"/>
    <n v="5.3672172808132146"/>
    <n v="1.2"/>
    <n v="4"/>
    <n v="64.099999999999994"/>
    <n v="86"/>
  </r>
  <r>
    <x v="13"/>
    <x v="13"/>
    <d v="2026-01-06T00:00:00"/>
    <n v="203.5"/>
    <n v="47.2"/>
    <n v="4.3114406779661012"/>
    <n v="2.9"/>
    <n v="1"/>
    <n v="58.8"/>
    <n v="95.4"/>
  </r>
  <r>
    <x v="13"/>
    <x v="13"/>
    <d v="2026-03-12T00:00:00"/>
    <n v="383.4"/>
    <n v="99.9"/>
    <n v="3.8378378378378373"/>
    <n v="1.2"/>
    <n v="7"/>
    <n v="57.2"/>
    <n v="93.7"/>
  </r>
  <r>
    <x v="13"/>
    <x v="13"/>
    <d v="2026-02-19T00:00:00"/>
    <n v="168"/>
    <n v="42.1"/>
    <n v="3.9904988123515439"/>
    <n v="2.9"/>
    <n v="4"/>
    <n v="56"/>
    <n v="97.6"/>
  </r>
  <r>
    <x v="13"/>
    <x v="13"/>
    <d v="2026-02-17T00:00:00"/>
    <n v="222.9"/>
    <n v="78.7"/>
    <n v="2.8322744599745868"/>
    <n v="1.7"/>
    <n v="5"/>
    <n v="74"/>
    <n v="98.1"/>
  </r>
  <r>
    <x v="13"/>
    <x v="13"/>
    <d v="2026-02-23T00:00:00"/>
    <n v="131.6"/>
    <n v="30"/>
    <n v="4.3866666666666667"/>
    <n v="0.6"/>
    <n v="4"/>
    <n v="43.6"/>
    <n v="99.8"/>
  </r>
  <r>
    <x v="13"/>
    <x v="13"/>
    <d v="2026-02-13T00:00:00"/>
    <n v="182.8"/>
    <n v="54.1"/>
    <n v="3.378927911275416"/>
    <n v="3.5"/>
    <n v="2"/>
    <n v="34.200000000000003"/>
    <n v="86.5"/>
  </r>
  <r>
    <x v="14"/>
    <x v="14"/>
    <d v="2026-03-08T00:00:00"/>
    <n v="247"/>
    <n v="71.2"/>
    <n v="3.4691011235955056"/>
    <n v="0.5"/>
    <n v="1"/>
    <n v="56.5"/>
    <n v="88.5"/>
  </r>
  <r>
    <x v="14"/>
    <x v="14"/>
    <d v="2026-03-12T00:00:00"/>
    <n v="341.1"/>
    <n v="79.099999999999994"/>
    <n v="4.312262958280658"/>
    <n v="0.7"/>
    <n v="3"/>
    <n v="54.6"/>
    <n v="97.5"/>
  </r>
  <r>
    <x v="14"/>
    <x v="14"/>
    <d v="2026-01-24T00:00:00"/>
    <n v="98.6"/>
    <n v="25.8"/>
    <n v="3.8217054263565888"/>
    <n v="1.1000000000000001"/>
    <n v="6"/>
    <n v="45.2"/>
    <n v="98.2"/>
  </r>
  <r>
    <x v="14"/>
    <x v="14"/>
    <d v="2026-03-14T00:00:00"/>
    <n v="305.8"/>
    <n v="80"/>
    <n v="3.8225000000000002"/>
    <n v="0.3"/>
    <n v="6"/>
    <n v="38.200000000000003"/>
    <n v="88.2"/>
  </r>
  <r>
    <x v="14"/>
    <x v="14"/>
    <d v="2026-02-08T00:00:00"/>
    <n v="398.3"/>
    <n v="72.8"/>
    <n v="5.4711538461538467"/>
    <n v="1.5"/>
    <n v="1"/>
    <n v="57.4"/>
    <n v="96.1"/>
  </r>
  <r>
    <x v="14"/>
    <x v="14"/>
    <d v="2026-01-10T00:00:00"/>
    <n v="334.3"/>
    <n v="63.1"/>
    <n v="5.2979397781299529"/>
    <n v="3.6"/>
    <n v="4"/>
    <n v="49.1"/>
    <n v="93.2"/>
  </r>
  <r>
    <x v="14"/>
    <x v="14"/>
    <d v="2026-01-13T00:00:00"/>
    <n v="274.60000000000002"/>
    <n v="68.099999999999994"/>
    <n v="4.0323054331864912"/>
    <n v="3.3"/>
    <n v="7"/>
    <n v="69.2"/>
    <n v="99.5"/>
  </r>
  <r>
    <x v="14"/>
    <x v="14"/>
    <d v="2026-02-26T00:00:00"/>
    <n v="431.7"/>
    <n v="84.5"/>
    <n v="5.1088757396449704"/>
    <n v="0.6"/>
    <n v="6"/>
    <n v="54.5"/>
    <n v="99.7"/>
  </r>
  <r>
    <x v="14"/>
    <x v="14"/>
    <d v="2026-03-31T00:00:00"/>
    <n v="257.10000000000002"/>
    <n v="78.099999999999994"/>
    <n v="3.2919334186939828"/>
    <n v="0.8"/>
    <n v="8"/>
    <n v="31.7"/>
    <n v="88"/>
  </r>
  <r>
    <x v="14"/>
    <x v="14"/>
    <d v="2026-01-06T00:00:00"/>
    <n v="348.9"/>
    <n v="66.3"/>
    <n v="5.2624434389140271"/>
    <n v="2.8"/>
    <n v="7"/>
    <n v="42.4"/>
    <n v="99.7"/>
  </r>
  <r>
    <x v="14"/>
    <x v="14"/>
    <d v="2026-02-01T00:00:00"/>
    <n v="132.1"/>
    <n v="45"/>
    <n v="2.9355555555555553"/>
    <n v="4.3"/>
    <n v="7"/>
    <n v="41.2"/>
    <n v="98"/>
  </r>
  <r>
    <x v="14"/>
    <x v="14"/>
    <d v="2026-03-28T00:00:00"/>
    <n v="346.1"/>
    <n v="87.7"/>
    <n v="3.9464082098061577"/>
    <n v="1.8"/>
    <n v="4"/>
    <n v="41.1"/>
    <n v="90.2"/>
  </r>
  <r>
    <x v="14"/>
    <x v="14"/>
    <d v="2026-01-30T00:00:00"/>
    <n v="279.7"/>
    <n v="57.8"/>
    <n v="4.8391003460207616"/>
    <n v="3.5"/>
    <n v="3"/>
    <n v="52.7"/>
    <n v="89.3"/>
  </r>
  <r>
    <x v="14"/>
    <x v="14"/>
    <d v="2026-01-08T00:00:00"/>
    <n v="288.10000000000002"/>
    <n v="53.2"/>
    <n v="5.4154135338345863"/>
    <n v="2.6"/>
    <n v="3"/>
    <n v="47.5"/>
    <n v="88.8"/>
  </r>
  <r>
    <x v="14"/>
    <x v="14"/>
    <d v="2026-03-04T00:00:00"/>
    <n v="164.4"/>
    <n v="38.299999999999997"/>
    <n v="4.2924281984334209"/>
    <n v="1.8"/>
    <n v="3"/>
    <n v="60.6"/>
    <n v="94.9"/>
  </r>
  <r>
    <x v="14"/>
    <x v="14"/>
    <d v="2026-01-27T00:00:00"/>
    <n v="242.2"/>
    <n v="67.5"/>
    <n v="3.5881481481481479"/>
    <n v="3.2"/>
    <n v="7"/>
    <n v="60.3"/>
    <n v="87.1"/>
  </r>
  <r>
    <x v="14"/>
    <x v="14"/>
    <d v="2026-03-04T00:00:00"/>
    <n v="141.9"/>
    <n v="32.799999999999997"/>
    <n v="4.3262195121951228"/>
    <n v="3.6"/>
    <n v="4"/>
    <n v="43.1"/>
    <n v="89.1"/>
  </r>
  <r>
    <x v="14"/>
    <x v="14"/>
    <d v="2026-01-28T00:00:00"/>
    <n v="112.1"/>
    <n v="36.5"/>
    <n v="3.0712328767123287"/>
    <n v="3.4"/>
    <n v="7"/>
    <n v="45.8"/>
    <n v="91.4"/>
  </r>
  <r>
    <x v="14"/>
    <x v="14"/>
    <d v="2026-02-10T00:00:00"/>
    <n v="230.4"/>
    <n v="54.3"/>
    <n v="4.2430939226519344"/>
    <m/>
    <n v="4"/>
    <n v="50.3"/>
    <n v="92"/>
  </r>
  <r>
    <x v="14"/>
    <x v="14"/>
    <d v="2026-01-16T00:00:00"/>
    <n v="254.1"/>
    <n v="49.4"/>
    <n v="5.1437246963562755"/>
    <n v="2.7"/>
    <n v="2"/>
    <n v="51.2"/>
    <n v="87.9"/>
  </r>
  <r>
    <x v="14"/>
    <x v="14"/>
    <d v="2026-02-13T00:00:00"/>
    <n v="214.4"/>
    <n v="72.8"/>
    <n v="2.9450549450549453"/>
    <n v="1.2"/>
    <n v="8"/>
    <n v="44.9"/>
    <n v="96.5"/>
  </r>
  <r>
    <x v="14"/>
    <x v="14"/>
    <d v="2026-02-18T00:00:00"/>
    <n v="226.2"/>
    <n v="49.3"/>
    <n v="4.5882352941176467"/>
    <n v="2.2000000000000002"/>
    <n v="4"/>
    <n v="36.1"/>
    <n v="90.9"/>
  </r>
  <r>
    <x v="14"/>
    <x v="14"/>
    <d v="2026-03-29T00:00:00"/>
    <n v="250.5"/>
    <n v="57.1"/>
    <n v="4.3870402802101571"/>
    <n v="0.3"/>
    <n v="2"/>
    <n v="41.6"/>
    <n v="90.7"/>
  </r>
  <r>
    <x v="14"/>
    <x v="14"/>
    <d v="2026-03-20T00:00:00"/>
    <n v="261.3"/>
    <n v="71.099999999999994"/>
    <n v="3.6751054852320681"/>
    <n v="2.2000000000000002"/>
    <n v="4"/>
    <n v="49.2"/>
    <n v="96.6"/>
  </r>
  <r>
    <x v="14"/>
    <x v="14"/>
    <d v="2026-03-17T00:00:00"/>
    <n v="411.7"/>
    <n v="78.900000000000006"/>
    <n v="5.2179974651457535"/>
    <n v="4"/>
    <n v="2"/>
    <n v="41.3"/>
    <n v="95.4"/>
  </r>
  <r>
    <x v="14"/>
    <x v="14"/>
    <d v="2026-02-06T00:00:00"/>
    <n v="311.8"/>
    <n v="100"/>
    <n v="3.1180000000000003"/>
    <n v="0.8"/>
    <n v="4"/>
    <n v="30.2"/>
    <n v="96.5"/>
  </r>
  <r>
    <x v="14"/>
    <x v="14"/>
    <d v="2026-03-06T00:00:00"/>
    <n v="89.2"/>
    <n v="21.7"/>
    <n v="4.1105990783410142"/>
    <n v="2.4"/>
    <n v="4"/>
    <n v="45.3"/>
    <n v="92.3"/>
  </r>
  <r>
    <x v="14"/>
    <x v="14"/>
    <d v="2026-01-13T00:00:00"/>
    <n v="248.6"/>
    <n v="53.5"/>
    <n v="4.6467289719626166"/>
    <n v="3.3"/>
    <n v="8"/>
    <n v="51.2"/>
    <n v="99.2"/>
  </r>
  <r>
    <x v="14"/>
    <x v="14"/>
    <d v="2026-03-04T00:00:00"/>
    <n v="91.2"/>
    <n v="22.3"/>
    <n v="4.0896860986547088"/>
    <n v="1.7"/>
    <n v="8"/>
    <n v="68.099999999999994"/>
    <n v="89.2"/>
  </r>
  <r>
    <x v="14"/>
    <x v="14"/>
    <d v="2026-02-14T00:00:00"/>
    <n v="161.19999999999999"/>
    <n v="45.2"/>
    <n v="3.5663716814159288"/>
    <n v="1"/>
    <n v="1"/>
    <n v="57.9"/>
    <n v="85.9"/>
  </r>
  <r>
    <x v="14"/>
    <x v="14"/>
    <d v="2026-01-03T00:00:00"/>
    <n v="93.7"/>
    <n v="31.7"/>
    <n v="2.9558359621451107"/>
    <n v="3.6"/>
    <n v="1"/>
    <n v="48.2"/>
    <n v="88.2"/>
  </r>
  <r>
    <x v="14"/>
    <x v="14"/>
    <d v="2026-01-06T00:00:00"/>
    <n v="118.6"/>
    <n v="40.299999999999997"/>
    <n v="2.9429280397022333"/>
    <n v="2.5"/>
    <n v="3"/>
    <n v="65.3"/>
    <n v="92.3"/>
  </r>
  <r>
    <x v="14"/>
    <x v="14"/>
    <d v="2026-03-30T00:00:00"/>
    <n v="130.1"/>
    <n v="40.1"/>
    <n v="3.2443890274314211"/>
    <n v="1.4"/>
    <n v="7"/>
    <n v="58.6"/>
    <n v="99.3"/>
  </r>
  <r>
    <x v="15"/>
    <x v="15"/>
    <d v="2026-01-29T00:00:00"/>
    <n v="153.80000000000001"/>
    <n v="29.1"/>
    <n v="5.2852233676975944"/>
    <n v="1.7"/>
    <n v="4"/>
    <n v="40"/>
    <n v="94.9"/>
  </r>
  <r>
    <x v="15"/>
    <x v="15"/>
    <d v="2026-01-04T00:00:00"/>
    <n v="223.9"/>
    <n v="48.6"/>
    <n v="4.6069958847736627"/>
    <n v="3.6"/>
    <n v="3"/>
    <n v="67.8"/>
    <n v="98.8"/>
  </r>
  <r>
    <x v="15"/>
    <x v="15"/>
    <d v="2026-03-27T00:00:00"/>
    <n v="122.3"/>
    <n v="22.8"/>
    <n v="5.3640350877192979"/>
    <n v="2.2000000000000002"/>
    <n v="5"/>
    <n v="64.5"/>
    <n v="87.5"/>
  </r>
  <r>
    <x v="15"/>
    <x v="15"/>
    <d v="2026-01-14T00:00:00"/>
    <n v="402.9"/>
    <n v="92.6"/>
    <n v="4.3509719222462202"/>
    <n v="2.2000000000000002"/>
    <n v="8"/>
    <n v="45.3"/>
    <n v="99.5"/>
  </r>
  <r>
    <x v="15"/>
    <x v="15"/>
    <d v="2026-01-14T00:00:00"/>
    <n v="167.8"/>
    <m/>
    <e v="#DIV/0!"/>
    <n v="2.7"/>
    <n v="5"/>
    <n v="31"/>
    <n v="97.5"/>
  </r>
  <r>
    <x v="15"/>
    <x v="15"/>
    <d v="2026-01-25T00:00:00"/>
    <n v="216.1"/>
    <n v="40.299999999999997"/>
    <n v="5.3622828784119108"/>
    <n v="4.4000000000000004"/>
    <n v="8"/>
    <n v="64.599999999999994"/>
    <n v="96.7"/>
  </r>
  <r>
    <x v="15"/>
    <x v="15"/>
    <d v="2026-02-17T00:00:00"/>
    <n v="285.2"/>
    <n v="92.7"/>
    <n v="3.0765911542610569"/>
    <n v="3.8"/>
    <n v="2"/>
    <n v="42.8"/>
    <n v="96.4"/>
  </r>
  <r>
    <x v="15"/>
    <x v="15"/>
    <d v="2026-02-27T00:00:00"/>
    <n v="307.7"/>
    <n v="58.7"/>
    <n v="5.2419080068143096"/>
    <n v="0.3"/>
    <n v="4"/>
    <n v="67.599999999999994"/>
    <n v="93.2"/>
  </r>
  <r>
    <x v="15"/>
    <x v="15"/>
    <d v="2026-01-26T00:00:00"/>
    <n v="125.4"/>
    <n v="24.6"/>
    <n v="5.0975609756097562"/>
    <n v="2.1"/>
    <n v="8"/>
    <n v="74.900000000000006"/>
    <n v="97.2"/>
  </r>
  <r>
    <x v="15"/>
    <x v="15"/>
    <d v="2026-02-09T00:00:00"/>
    <n v="264"/>
    <n v="86.8"/>
    <n v="3.0414746543778803"/>
    <n v="1.9"/>
    <n v="8"/>
    <n v="73.5"/>
    <n v="88.2"/>
  </r>
  <r>
    <x v="15"/>
    <x v="15"/>
    <d v="2026-03-08T00:00:00"/>
    <n v="249.1"/>
    <n v="56.1"/>
    <n v="4.4402852049910875"/>
    <n v="2.4"/>
    <n v="6"/>
    <n v="71.900000000000006"/>
    <n v="89.8"/>
  </r>
  <r>
    <x v="15"/>
    <x v="15"/>
    <d v="2026-02-10T00:00:00"/>
    <n v="257.5"/>
    <n v="59.7"/>
    <n v="4.3132328308207706"/>
    <n v="4.2"/>
    <n v="5"/>
    <n v="43"/>
    <n v="93.6"/>
  </r>
  <r>
    <x v="15"/>
    <x v="15"/>
    <d v="2026-01-24T00:00:00"/>
    <n v="426.5"/>
    <n v="79"/>
    <n v="5.3987341772151902"/>
    <n v="4.2"/>
    <n v="1"/>
    <n v="30.4"/>
    <n v="93.5"/>
  </r>
  <r>
    <x v="15"/>
    <x v="15"/>
    <d v="2026-01-07T00:00:00"/>
    <n v="439.7"/>
    <n v="82.3"/>
    <n v="5.3426488456865124"/>
    <n v="3.1"/>
    <n v="6"/>
    <n v="61.3"/>
    <n v="91.1"/>
  </r>
  <r>
    <x v="15"/>
    <x v="15"/>
    <d v="2026-02-10T00:00:00"/>
    <n v="418.3"/>
    <n v="110.1"/>
    <n v="3.7992733878292464"/>
    <n v="2"/>
    <n v="4"/>
    <n v="63.4"/>
    <n v="85.2"/>
  </r>
  <r>
    <x v="15"/>
    <x v="15"/>
    <d v="2026-02-28T00:00:00"/>
    <n v="142.19999999999999"/>
    <n v="28.7"/>
    <n v="4.9547038327526129"/>
    <n v="0.9"/>
    <n v="8"/>
    <n v="38.299999999999997"/>
    <n v="98.3"/>
  </r>
  <r>
    <x v="15"/>
    <x v="15"/>
    <d v="2026-03-16T00:00:00"/>
    <n v="228.3"/>
    <n v="54.8"/>
    <n v="4.1660583941605847"/>
    <n v="4.2"/>
    <n v="7"/>
    <n v="54.5"/>
    <n v="96.9"/>
  </r>
  <r>
    <x v="15"/>
    <x v="15"/>
    <d v="2026-02-14T00:00:00"/>
    <n v="256.2"/>
    <n v="64.3"/>
    <n v="3.9844479004665629"/>
    <n v="3.2"/>
    <n v="6"/>
    <n v="33"/>
    <n v="85.7"/>
  </r>
  <r>
    <x v="15"/>
    <x v="15"/>
    <d v="2026-01-10T00:00:00"/>
    <n v="86.2"/>
    <n v="28.9"/>
    <n v="2.9826989619377167"/>
    <n v="1.3"/>
    <n v="1"/>
    <n v="71.5"/>
    <m/>
  </r>
  <r>
    <x v="15"/>
    <x v="15"/>
    <d v="2026-01-26T00:00:00"/>
    <n v="351"/>
    <n v="82.1"/>
    <n v="4.2752740560292333"/>
    <n v="3.6"/>
    <n v="3"/>
    <n v="30.3"/>
    <n v="91.2"/>
  </r>
  <r>
    <x v="15"/>
    <x v="15"/>
    <d v="2026-03-11T00:00:00"/>
    <n v="194.3"/>
    <n v="47.1"/>
    <n v="4.1252653927813165"/>
    <n v="0.6"/>
    <n v="4"/>
    <n v="57.1"/>
    <n v="85.3"/>
  </r>
  <r>
    <x v="15"/>
    <x v="15"/>
    <d v="2026-01-01T00:00:00"/>
    <n v="202.7"/>
    <n v="45.5"/>
    <n v="4.4549450549450551"/>
    <n v="3.7"/>
    <n v="6"/>
    <n v="62.3"/>
    <n v="98.8"/>
  </r>
  <r>
    <x v="15"/>
    <x v="15"/>
    <d v="2026-03-17T00:00:00"/>
    <n v="284"/>
    <n v="76.2"/>
    <n v="3.727034120734908"/>
    <n v="3.8"/>
    <n v="5"/>
    <n v="63.7"/>
    <n v="95.3"/>
  </r>
  <r>
    <x v="15"/>
    <x v="15"/>
    <d v="2026-03-31T00:00:00"/>
    <n v="136.69999999999999"/>
    <n v="29.2"/>
    <n v="4.6815068493150678"/>
    <n v="2.9"/>
    <n v="5"/>
    <n v="48.9"/>
    <n v="86.5"/>
  </r>
  <r>
    <x v="15"/>
    <x v="15"/>
    <d v="2026-03-14T00:00:00"/>
    <n v="331"/>
    <n v="100.6"/>
    <n v="3.2902584493041753"/>
    <n v="1.8"/>
    <n v="6"/>
    <n v="57.5"/>
    <n v="97.9"/>
  </r>
  <r>
    <x v="15"/>
    <x v="15"/>
    <d v="2026-02-12T00:00:00"/>
    <n v="212.1"/>
    <n v="46"/>
    <n v="4.6108695652173912"/>
    <n v="1.2"/>
    <n v="5"/>
    <n v="57.9"/>
    <n v="98.5"/>
  </r>
  <r>
    <x v="15"/>
    <x v="15"/>
    <d v="2026-02-10T00:00:00"/>
    <n v="210.8"/>
    <n v="40.4"/>
    <n v="5.217821782178218"/>
    <n v="1.4"/>
    <n v="4"/>
    <n v="52.5"/>
    <n v="88"/>
  </r>
  <r>
    <x v="15"/>
    <x v="15"/>
    <d v="2026-02-27T00:00:00"/>
    <n v="409.2"/>
    <n v="106.9"/>
    <n v="3.827876520112254"/>
    <n v="1.4"/>
    <n v="3"/>
    <n v="69.099999999999994"/>
    <n v="94.6"/>
  </r>
  <r>
    <x v="15"/>
    <x v="15"/>
    <d v="2026-03-30T00:00:00"/>
    <n v="300.60000000000002"/>
    <n v="79"/>
    <n v="3.8050632911392408"/>
    <n v="0.6"/>
    <n v="3"/>
    <n v="52.5"/>
    <n v="95.3"/>
  </r>
  <r>
    <x v="15"/>
    <x v="15"/>
    <d v="2026-01-23T00:00:00"/>
    <n v="260.7"/>
    <n v="49.9"/>
    <n v="5.2244488977955914"/>
    <n v="3.2"/>
    <n v="2"/>
    <n v="56.8"/>
    <n v="89.5"/>
  </r>
  <r>
    <x v="15"/>
    <x v="15"/>
    <d v="2026-03-25T00:00:00"/>
    <n v="218.4"/>
    <n v="42.8"/>
    <n v="5.1028037383177578"/>
    <n v="2.2999999999999998"/>
    <n v="3"/>
    <n v="37.4"/>
    <n v="88.4"/>
  </r>
  <r>
    <x v="15"/>
    <x v="15"/>
    <d v="2026-02-28T00:00:00"/>
    <n v="231.8"/>
    <n v="76.900000000000006"/>
    <n v="3.0143042912873863"/>
    <n v="2.8"/>
    <n v="4"/>
    <n v="69.7"/>
    <n v="89.2"/>
  </r>
  <r>
    <x v="15"/>
    <x v="15"/>
    <d v="2026-03-08T00:00:00"/>
    <n v="349.8"/>
    <n v="84.4"/>
    <n v="4.1445497630331749"/>
    <n v="3.7"/>
    <n v="4"/>
    <n v="61.9"/>
    <n v="99.7"/>
  </r>
  <r>
    <x v="15"/>
    <x v="15"/>
    <d v="2026-03-02T00:00:00"/>
    <n v="375"/>
    <n v="82.5"/>
    <n v="4.5454545454545459"/>
    <n v="2.2999999999999998"/>
    <n v="8"/>
    <n v="70.099999999999994"/>
    <n v="93.1"/>
  </r>
  <r>
    <x v="15"/>
    <x v="15"/>
    <d v="2026-03-15T00:00:00"/>
    <n v="351.5"/>
    <n v="89.3"/>
    <n v="3.9361702127659575"/>
    <n v="4.3"/>
    <n v="5"/>
    <n v="43"/>
    <n v="85.5"/>
  </r>
  <r>
    <x v="15"/>
    <x v="15"/>
    <d v="2026-01-14T00:00:00"/>
    <n v="133.19999999999999"/>
    <n v="27.3"/>
    <n v="4.8791208791208787"/>
    <n v="1.1000000000000001"/>
    <n v="2"/>
    <n v="71.099999999999994"/>
    <n v="95.7"/>
  </r>
  <r>
    <x v="15"/>
    <x v="15"/>
    <d v="2026-03-03T00:00:00"/>
    <n v="241.3"/>
    <n v="47.5"/>
    <n v="5.08"/>
    <n v="3.6"/>
    <n v="2"/>
    <n v="54.3"/>
    <n v="85"/>
  </r>
  <r>
    <x v="15"/>
    <x v="15"/>
    <d v="2026-01-16T00:00:00"/>
    <n v="289.89999999999998"/>
    <n v="54.4"/>
    <n v="5.3290441176470589"/>
    <n v="1.7"/>
    <n v="5"/>
    <n v="48"/>
    <n v="94.5"/>
  </r>
  <r>
    <x v="15"/>
    <x v="15"/>
    <d v="2026-03-06T00:00:00"/>
    <n v="274.89999999999998"/>
    <n v="87.8"/>
    <n v="3.1309794988610475"/>
    <n v="3.3"/>
    <n v="5"/>
    <n v="50.3"/>
    <n v="90.5"/>
  </r>
  <r>
    <x v="15"/>
    <x v="15"/>
    <d v="2026-01-06T00:00:00"/>
    <n v="131.6"/>
    <n v="30.7"/>
    <n v="4.2866449511400653"/>
    <n v="1.5"/>
    <n v="7"/>
    <n v="57.8"/>
    <n v="88.3"/>
  </r>
  <r>
    <x v="15"/>
    <x v="15"/>
    <d v="2026-02-10T00:00:00"/>
    <n v="303.2"/>
    <n v="72.5"/>
    <n v="4.1820689655172414"/>
    <n v="0.4"/>
    <n v="6"/>
    <n v="47.9"/>
    <n v="95.7"/>
  </r>
  <r>
    <x v="15"/>
    <x v="15"/>
    <d v="2026-02-22T00:00:00"/>
    <n v="205.9"/>
    <n v="39.200000000000003"/>
    <n v="5.2525510204081627"/>
    <n v="0.6"/>
    <n v="3"/>
    <n v="52.7"/>
    <n v="97.5"/>
  </r>
  <r>
    <x v="16"/>
    <x v="16"/>
    <d v="2026-01-14T00:00:00"/>
    <n v="402.1"/>
    <n v="111.5"/>
    <n v="3.6062780269058297"/>
    <n v="2.9"/>
    <n v="4"/>
    <n v="36.9"/>
    <n v="96.4"/>
  </r>
  <r>
    <x v="16"/>
    <x v="16"/>
    <d v="2026-01-21T00:00:00"/>
    <n v="101"/>
    <n v="24.2"/>
    <n v="4.1735537190082646"/>
    <n v="3.9"/>
    <n v="2"/>
    <n v="56.8"/>
    <n v="95.1"/>
  </r>
  <r>
    <x v="16"/>
    <x v="16"/>
    <d v="2026-01-29T00:00:00"/>
    <n v="429.8"/>
    <n v="147.30000000000001"/>
    <n v="2.91785471826205"/>
    <n v="3.6"/>
    <n v="5"/>
    <n v="50.6"/>
    <n v="99.5"/>
  </r>
  <r>
    <x v="16"/>
    <x v="16"/>
    <d v="2026-03-09T00:00:00"/>
    <n v="234.9"/>
    <n v="72.599999999999994"/>
    <n v="3.2355371900826451"/>
    <n v="1.1000000000000001"/>
    <n v="3"/>
    <n v="69.3"/>
    <n v="85.8"/>
  </r>
  <r>
    <x v="16"/>
    <x v="16"/>
    <d v="2026-02-16T00:00:00"/>
    <n v="105"/>
    <n v="24.9"/>
    <n v="4.2168674698795181"/>
    <n v="2.4"/>
    <n v="1"/>
    <n v="47.6"/>
    <n v="92.1"/>
  </r>
  <r>
    <x v="16"/>
    <x v="16"/>
    <d v="2026-02-04T00:00:00"/>
    <n v="376.4"/>
    <n v="79"/>
    <n v="4.7645569620253161"/>
    <n v="0.5"/>
    <n v="3"/>
    <n v="54.5"/>
    <n v="89.8"/>
  </r>
  <r>
    <x v="16"/>
    <x v="16"/>
    <d v="2026-02-16T00:00:00"/>
    <n v="227.3"/>
    <n v="49.9"/>
    <n v="4.5551102204408824"/>
    <n v="1.3"/>
    <n v="2"/>
    <n v="31.2"/>
    <n v="87.8"/>
  </r>
  <r>
    <x v="16"/>
    <x v="16"/>
    <d v="2026-02-19T00:00:00"/>
    <n v="418"/>
    <n v="134.1"/>
    <n v="3.1170768083519764"/>
    <n v="3.5"/>
    <n v="8"/>
    <n v="39.700000000000003"/>
    <n v="94.2"/>
  </r>
  <r>
    <x v="16"/>
    <x v="16"/>
    <d v="2026-03-20T00:00:00"/>
    <n v="420.6"/>
    <n v="81.599999999999994"/>
    <n v="5.1544117647058831"/>
    <n v="3.4"/>
    <n v="1"/>
    <n v="61.8"/>
    <n v="92.8"/>
  </r>
  <r>
    <x v="16"/>
    <x v="16"/>
    <d v="2026-01-29T00:00:00"/>
    <n v="316"/>
    <n v="107.4"/>
    <n v="2.9422718808193666"/>
    <n v="2"/>
    <n v="8"/>
    <n v="34.5"/>
    <n v="96.6"/>
  </r>
  <r>
    <x v="16"/>
    <x v="16"/>
    <d v="2026-03-01T00:00:00"/>
    <n v="180.9"/>
    <n v="36.299999999999997"/>
    <n v="4.9834710743801658"/>
    <n v="1.6"/>
    <n v="8"/>
    <n v="59.2"/>
    <n v="95.8"/>
  </r>
  <r>
    <x v="16"/>
    <x v="16"/>
    <d v="2026-02-09T00:00:00"/>
    <n v="335.4"/>
    <n v="74.099999999999994"/>
    <n v="4.5263157894736841"/>
    <n v="4.2"/>
    <n v="6"/>
    <n v="57.7"/>
    <n v="88.3"/>
  </r>
  <r>
    <x v="16"/>
    <x v="16"/>
    <d v="2026-01-29T00:00:00"/>
    <n v="233"/>
    <n v="65.8"/>
    <n v="3.5410334346504562"/>
    <n v="2.6"/>
    <n v="3"/>
    <n v="58.2"/>
    <n v="91.4"/>
  </r>
  <r>
    <x v="16"/>
    <x v="16"/>
    <d v="2026-01-23T00:00:00"/>
    <n v="284.2"/>
    <n v="76.900000000000006"/>
    <n v="3.6957087126137838"/>
    <n v="2"/>
    <n v="8"/>
    <n v="40.4"/>
    <n v="91.1"/>
  </r>
  <r>
    <x v="16"/>
    <x v="16"/>
    <d v="2026-03-29T00:00:00"/>
    <n v="244.7"/>
    <n v="86.7"/>
    <n v="2.8223760092272201"/>
    <n v="1.7"/>
    <n v="2"/>
    <n v="74.5"/>
    <n v="91.3"/>
  </r>
  <r>
    <x v="16"/>
    <x v="16"/>
    <d v="2026-02-23T00:00:00"/>
    <n v="437.3"/>
    <n v="93.9"/>
    <n v="4.6570820021299255"/>
    <n v="4.2"/>
    <n v="4"/>
    <n v="51.4"/>
    <n v="86.2"/>
  </r>
  <r>
    <x v="16"/>
    <x v="16"/>
    <d v="2026-02-23T00:00:00"/>
    <n v="121.6"/>
    <n v="38"/>
    <n v="3.1999999999999997"/>
    <n v="2.6"/>
    <n v="2"/>
    <n v="71.599999999999994"/>
    <n v="93.4"/>
  </r>
  <r>
    <x v="16"/>
    <x v="16"/>
    <d v="2026-02-20T00:00:00"/>
    <n v="315.10000000000002"/>
    <n v="100.5"/>
    <n v="3.1353233830845775"/>
    <n v="0.3"/>
    <n v="6"/>
    <n v="52"/>
    <n v="91.7"/>
  </r>
  <r>
    <x v="16"/>
    <x v="16"/>
    <d v="2026-02-04T00:00:00"/>
    <n v="310.39999999999998"/>
    <n v="66.2"/>
    <n v="4.6888217522658602"/>
    <n v="2"/>
    <n v="2"/>
    <n v="53"/>
    <n v="94.3"/>
  </r>
  <r>
    <x v="16"/>
    <x v="16"/>
    <d v="2026-01-10T00:00:00"/>
    <n v="347.7"/>
    <n v="113.1"/>
    <n v="3.0742705570291777"/>
    <n v="1.3"/>
    <n v="4"/>
    <n v="50.6"/>
    <n v="99.7"/>
  </r>
  <r>
    <x v="16"/>
    <x v="16"/>
    <d v="2026-03-02T00:00:00"/>
    <n v="395.2"/>
    <n v="76.8"/>
    <n v="5.145833333333333"/>
    <n v="0.5"/>
    <n v="8"/>
    <n v="44.4"/>
    <n v="90"/>
  </r>
  <r>
    <x v="16"/>
    <x v="16"/>
    <d v="2026-02-08T00:00:00"/>
    <n v="391.9"/>
    <n v="91.6"/>
    <n v="4.2783842794759828"/>
    <n v="1.5"/>
    <n v="4"/>
    <n v="39"/>
    <n v="94.4"/>
  </r>
  <r>
    <x v="16"/>
    <x v="16"/>
    <d v="2026-03-22T00:00:00"/>
    <n v="91.5"/>
    <n v="20.9"/>
    <n v="4.3779904306220097"/>
    <n v="1.9"/>
    <n v="4"/>
    <n v="70.8"/>
    <n v="93.3"/>
  </r>
  <r>
    <x v="16"/>
    <x v="16"/>
    <d v="2026-03-08T00:00:00"/>
    <n v="338.4"/>
    <n v="75.900000000000006"/>
    <n v="4.4584980237154141"/>
    <n v="3.1"/>
    <n v="6"/>
    <n v="40.799999999999997"/>
    <n v="85"/>
  </r>
  <r>
    <x v="16"/>
    <x v="16"/>
    <d v="2026-02-05T00:00:00"/>
    <n v="227.2"/>
    <n v="47.1"/>
    <n v="4.8237791932059446"/>
    <n v="0.8"/>
    <n v="7"/>
    <n v="51.5"/>
    <n v="93.1"/>
  </r>
  <r>
    <x v="16"/>
    <x v="16"/>
    <d v="2026-02-14T00:00:00"/>
    <n v="225.7"/>
    <n v="48.5"/>
    <n v="4.6536082474226799"/>
    <n v="1"/>
    <n v="2"/>
    <n v="61.4"/>
    <n v="91.9"/>
  </r>
  <r>
    <x v="16"/>
    <x v="16"/>
    <d v="2026-03-10T00:00:00"/>
    <n v="346.6"/>
    <n v="70.400000000000006"/>
    <n v="4.9232954545454541"/>
    <n v="1.5"/>
    <n v="1"/>
    <n v="47.9"/>
    <n v="95.4"/>
  </r>
  <r>
    <x v="16"/>
    <x v="16"/>
    <d v="2026-01-22T00:00:00"/>
    <n v="90.6"/>
    <n v="19.7"/>
    <n v="4.5989847715736039"/>
    <n v="3.9"/>
    <n v="6"/>
    <n v="68.900000000000006"/>
    <n v="92"/>
  </r>
  <r>
    <x v="16"/>
    <x v="16"/>
    <d v="2026-03-20T00:00:00"/>
    <n v="431.4"/>
    <n v="112.9"/>
    <n v="3.8210806023029225"/>
    <n v="1.8"/>
    <n v="3"/>
    <n v="71.099999999999994"/>
    <n v="93.5"/>
  </r>
  <r>
    <x v="16"/>
    <x v="16"/>
    <d v="2026-02-09T00:00:00"/>
    <n v="366.9"/>
    <n v="115.1"/>
    <n v="3.1876629018245004"/>
    <n v="3.9"/>
    <n v="3"/>
    <n v="39.200000000000003"/>
    <n v="85.5"/>
  </r>
  <r>
    <x v="16"/>
    <x v="16"/>
    <d v="2026-02-28T00:00:00"/>
    <n v="427.8"/>
    <n v="83.1"/>
    <n v="5.1480144404332133"/>
    <n v="2.5"/>
    <n v="4"/>
    <n v="71.599999999999994"/>
    <n v="85.6"/>
  </r>
  <r>
    <x v="16"/>
    <x v="16"/>
    <d v="2026-02-27T00:00:00"/>
    <n v="232.5"/>
    <n v="43.6"/>
    <n v="5.3325688073394497"/>
    <n v="2.8"/>
    <n v="1"/>
    <n v="56.8"/>
    <n v="95.8"/>
  </r>
  <r>
    <x v="16"/>
    <x v="16"/>
    <d v="2026-01-13T00:00:00"/>
    <n v="309"/>
    <n v="60.2"/>
    <n v="5.132890365448505"/>
    <n v="4.4000000000000004"/>
    <n v="4"/>
    <n v="50.9"/>
    <n v="94.4"/>
  </r>
  <r>
    <x v="16"/>
    <x v="16"/>
    <d v="2026-01-05T00:00:00"/>
    <n v="237.5"/>
    <n v="61.5"/>
    <n v="3.8617886178861789"/>
    <n v="3.7"/>
    <n v="2"/>
    <n v="50.4"/>
    <n v="88.6"/>
  </r>
  <r>
    <x v="16"/>
    <x v="16"/>
    <d v="2026-02-12T00:00:00"/>
    <n v="104.5"/>
    <n v="19.399999999999999"/>
    <n v="5.3865979381443303"/>
    <n v="3.5"/>
    <n v="2"/>
    <n v="30.3"/>
    <n v="94.6"/>
  </r>
  <r>
    <x v="17"/>
    <x v="17"/>
    <d v="2026-02-23T00:00:00"/>
    <n v="161.6"/>
    <n v="36.799999999999997"/>
    <n v="4.3913043478260869"/>
    <n v="3.7"/>
    <n v="1"/>
    <n v="64.099999999999994"/>
    <n v="87.4"/>
  </r>
  <r>
    <x v="17"/>
    <x v="17"/>
    <d v="2026-02-07T00:00:00"/>
    <n v="386.9"/>
    <n v="86.6"/>
    <n v="4.4676674364896076"/>
    <n v="3.9"/>
    <n v="4"/>
    <n v="61.7"/>
    <n v="85.7"/>
  </r>
  <r>
    <x v="17"/>
    <x v="17"/>
    <d v="2026-03-10T00:00:00"/>
    <n v="177.2"/>
    <n v="40.5"/>
    <n v="4.375308641975308"/>
    <n v="4.0999999999999996"/>
    <n v="7"/>
    <n v="46.3"/>
    <n v="100"/>
  </r>
  <r>
    <x v="17"/>
    <x v="17"/>
    <d v="2026-03-09T00:00:00"/>
    <n v="419.8"/>
    <m/>
    <e v="#DIV/0!"/>
    <n v="2.2999999999999998"/>
    <n v="2"/>
    <n v="71.8"/>
    <n v="98.2"/>
  </r>
  <r>
    <x v="17"/>
    <x v="17"/>
    <d v="2026-01-17T00:00:00"/>
    <n v="127.5"/>
    <n v="31.2"/>
    <n v="4.0865384615384617"/>
    <n v="2.6"/>
    <n v="5"/>
    <n v="53.7"/>
    <n v="94.1"/>
  </r>
  <r>
    <x v="17"/>
    <x v="17"/>
    <d v="2026-01-13T00:00:00"/>
    <n v="98.7"/>
    <n v="18"/>
    <n v="5.4833333333333334"/>
    <n v="3.8"/>
    <n v="2"/>
    <n v="71.7"/>
    <n v="97.7"/>
  </r>
  <r>
    <x v="17"/>
    <x v="17"/>
    <d v="2026-02-12T00:00:00"/>
    <n v="427.5"/>
    <n v="137.4"/>
    <n v="3.1113537117903931"/>
    <n v="4.4000000000000004"/>
    <n v="3"/>
    <n v="56.1"/>
    <n v="99.8"/>
  </r>
  <r>
    <x v="17"/>
    <x v="17"/>
    <d v="2026-02-18T00:00:00"/>
    <n v="433"/>
    <n v="96.4"/>
    <n v="4.491701244813278"/>
    <n v="4"/>
    <n v="8"/>
    <n v="69.3"/>
    <n v="85.5"/>
  </r>
  <r>
    <x v="17"/>
    <x v="17"/>
    <d v="2026-02-11T00:00:00"/>
    <n v="418.6"/>
    <n v="123.2"/>
    <n v="3.3977272727272729"/>
    <n v="0.5"/>
    <n v="8"/>
    <n v="70.900000000000006"/>
    <n v="89.5"/>
  </r>
  <r>
    <x v="17"/>
    <x v="17"/>
    <d v="2026-01-18T00:00:00"/>
    <n v="223.8"/>
    <n v="58.9"/>
    <n v="3.7996604414261461"/>
    <n v="4.3"/>
    <n v="7"/>
    <n v="56.4"/>
    <n v="95.9"/>
  </r>
  <r>
    <x v="17"/>
    <x v="17"/>
    <d v="2026-01-28T00:00:00"/>
    <n v="239.1"/>
    <n v="46"/>
    <n v="5.197826086956522"/>
    <n v="2"/>
    <n v="8"/>
    <n v="47.9"/>
    <n v="95.9"/>
  </r>
  <r>
    <x v="17"/>
    <x v="17"/>
    <d v="2026-02-05T00:00:00"/>
    <n v="126.3"/>
    <n v="34.9"/>
    <n v="3.6189111747851004"/>
    <n v="2.5"/>
    <n v="3"/>
    <n v="56.6"/>
    <n v="93.7"/>
  </r>
  <r>
    <x v="17"/>
    <x v="17"/>
    <d v="2026-02-07T00:00:00"/>
    <n v="317.5"/>
    <n v="87.8"/>
    <n v="3.6161731207289294"/>
    <n v="1.3"/>
    <n v="7"/>
    <n v="43.4"/>
    <n v="86.1"/>
  </r>
  <r>
    <x v="17"/>
    <x v="17"/>
    <d v="2026-02-11T00:00:00"/>
    <n v="449.3"/>
    <n v="109.8"/>
    <n v="4.091985428051002"/>
    <n v="1.8"/>
    <n v="3"/>
    <n v="50.7"/>
    <n v="93"/>
  </r>
  <r>
    <x v="17"/>
    <x v="17"/>
    <d v="2026-02-15T00:00:00"/>
    <n v="330.1"/>
    <n v="64.2"/>
    <n v="5.1417445482866047"/>
    <n v="3.1"/>
    <n v="5"/>
    <n v="57.5"/>
    <n v="87.9"/>
  </r>
  <r>
    <x v="17"/>
    <x v="17"/>
    <d v="2026-02-18T00:00:00"/>
    <n v="411.4"/>
    <n v="106.4"/>
    <n v="3.8665413533834583"/>
    <n v="1.7"/>
    <n v="3"/>
    <n v="43.1"/>
    <n v="89.3"/>
  </r>
  <r>
    <x v="17"/>
    <x v="17"/>
    <d v="2026-03-31T00:00:00"/>
    <n v="180.5"/>
    <n v="58.3"/>
    <n v="3.096054888507719"/>
    <n v="3.4"/>
    <n v="4"/>
    <n v="40.9"/>
    <n v="95"/>
  </r>
  <r>
    <x v="17"/>
    <x v="17"/>
    <d v="2026-03-27T00:00:00"/>
    <n v="385.5"/>
    <n v="79.400000000000006"/>
    <n v="4.8551637279596971"/>
    <n v="3.1"/>
    <n v="2"/>
    <n v="53.6"/>
    <n v="92.9"/>
  </r>
  <r>
    <x v="17"/>
    <x v="17"/>
    <d v="2026-03-25T00:00:00"/>
    <n v="212.9"/>
    <n v="60.7"/>
    <n v="3.5074135090609553"/>
    <n v="2.4"/>
    <n v="8"/>
    <n v="51"/>
    <n v="97"/>
  </r>
  <r>
    <x v="17"/>
    <x v="17"/>
    <d v="2026-03-16T00:00:00"/>
    <n v="294.3"/>
    <n v="74.900000000000006"/>
    <n v="3.9292389853137517"/>
    <n v="0.9"/>
    <n v="6"/>
    <n v="40.4"/>
    <n v="93.5"/>
  </r>
  <r>
    <x v="17"/>
    <x v="17"/>
    <d v="2026-01-12T00:00:00"/>
    <n v="300.89999999999998"/>
    <n v="61.2"/>
    <n v="4.9166666666666661"/>
    <n v="3.9"/>
    <n v="1"/>
    <n v="43.1"/>
    <n v="90.8"/>
  </r>
  <r>
    <x v="17"/>
    <x v="17"/>
    <d v="2026-01-24T00:00:00"/>
    <n v="215.3"/>
    <n v="64.599999999999994"/>
    <n v="3.3328173374613006"/>
    <n v="0.7"/>
    <n v="8"/>
    <n v="53.7"/>
    <n v="94.6"/>
  </r>
  <r>
    <x v="17"/>
    <x v="17"/>
    <d v="2026-02-06T00:00:00"/>
    <n v="142.19999999999999"/>
    <n v="35.200000000000003"/>
    <n v="4.0397727272727266"/>
    <n v="3.4"/>
    <n v="8"/>
    <n v="54.7"/>
    <n v="86.7"/>
  </r>
  <r>
    <x v="17"/>
    <x v="17"/>
    <d v="2026-03-10T00:00:00"/>
    <n v="307.89999999999998"/>
    <n v="86.8"/>
    <n v="3.5472350230414746"/>
    <n v="1.5"/>
    <n v="4"/>
    <n v="73.8"/>
    <n v="87.3"/>
  </r>
  <r>
    <x v="17"/>
    <x v="17"/>
    <d v="2026-03-03T00:00:00"/>
    <n v="102.6"/>
    <n v="28.9"/>
    <n v="3.5501730103806226"/>
    <n v="0.8"/>
    <n v="4"/>
    <n v="58.9"/>
    <n v="97"/>
  </r>
  <r>
    <x v="17"/>
    <x v="17"/>
    <d v="2026-03-04T00:00:00"/>
    <n v="207.3"/>
    <n v="47.9"/>
    <n v="4.3277661795407099"/>
    <n v="1.6"/>
    <n v="5"/>
    <n v="38.1"/>
    <n v="89.8"/>
  </r>
  <r>
    <x v="17"/>
    <x v="17"/>
    <d v="2026-02-03T00:00:00"/>
    <n v="324.39999999999998"/>
    <n v="90"/>
    <n v="3.6044444444444443"/>
    <n v="0.6"/>
    <n v="7"/>
    <n v="55.7"/>
    <n v="97.6"/>
  </r>
  <r>
    <x v="17"/>
    <x v="17"/>
    <d v="2026-02-11T00:00:00"/>
    <n v="397"/>
    <n v="94.5"/>
    <n v="4.2010582010582009"/>
    <n v="4.0999999999999996"/>
    <n v="1"/>
    <n v="65.400000000000006"/>
    <n v="94.3"/>
  </r>
  <r>
    <x v="17"/>
    <x v="17"/>
    <d v="2026-03-23T00:00:00"/>
    <n v="370.4"/>
    <n v="70.599999999999994"/>
    <n v="5.2464589235127477"/>
    <n v="3.1"/>
    <n v="5"/>
    <n v="68"/>
    <n v="97.6"/>
  </r>
  <r>
    <x v="17"/>
    <x v="17"/>
    <d v="2026-01-24T00:00:00"/>
    <n v="188.7"/>
    <n v="46.4"/>
    <n v="4.0668103448275863"/>
    <n v="3.4"/>
    <n v="3"/>
    <n v="72.599999999999994"/>
    <n v="98.5"/>
  </r>
  <r>
    <x v="17"/>
    <x v="17"/>
    <d v="2026-02-06T00:00:00"/>
    <n v="404.7"/>
    <n v="102.7"/>
    <n v="3.9406037000973706"/>
    <n v="0.3"/>
    <n v="2"/>
    <n v="31.1"/>
    <n v="87.2"/>
  </r>
  <r>
    <x v="17"/>
    <x v="17"/>
    <d v="2026-01-29T00:00:00"/>
    <n v="354.7"/>
    <n v="82.2"/>
    <n v="4.3150851581508514"/>
    <n v="1.2"/>
    <n v="5"/>
    <n v="61.2"/>
    <n v="85.7"/>
  </r>
  <r>
    <x v="17"/>
    <x v="17"/>
    <d v="2026-02-07T00:00:00"/>
    <n v="435.2"/>
    <n v="136.5"/>
    <n v="3.1882783882783881"/>
    <n v="3.1"/>
    <n v="6"/>
    <n v="73.099999999999994"/>
    <n v="85.2"/>
  </r>
  <r>
    <x v="17"/>
    <x v="17"/>
    <d v="2026-01-19T00:00:00"/>
    <n v="125.6"/>
    <n v="44.6"/>
    <n v="2.8161434977578472"/>
    <n v="2.8"/>
    <n v="2"/>
    <n v="43.7"/>
    <n v="96.2"/>
  </r>
  <r>
    <x v="17"/>
    <x v="17"/>
    <d v="2026-03-01T00:00:00"/>
    <n v="318.5"/>
    <n v="106.3"/>
    <n v="2.9962370649106305"/>
    <n v="3.1"/>
    <n v="5"/>
    <n v="34.4"/>
    <n v="95.9"/>
  </r>
  <r>
    <x v="17"/>
    <x v="17"/>
    <d v="2026-03-11T00:00:00"/>
    <n v="254.7"/>
    <n v="52.1"/>
    <n v="4.8886756238003839"/>
    <n v="1.8"/>
    <n v="4"/>
    <n v="70.099999999999994"/>
    <n v="93.8"/>
  </r>
  <r>
    <x v="17"/>
    <x v="17"/>
    <d v="2026-03-14T00:00:00"/>
    <n v="144.30000000000001"/>
    <n v="31.6"/>
    <n v="4.5664556962025316"/>
    <n v="1.8"/>
    <n v="2"/>
    <n v="53.2"/>
    <n v="90.6"/>
  </r>
  <r>
    <x v="17"/>
    <x v="17"/>
    <d v="2026-02-24T00:00:00"/>
    <n v="288.89999999999998"/>
    <n v="64.900000000000006"/>
    <n v="4.4514637904468408"/>
    <n v="4.5"/>
    <n v="7"/>
    <n v="64"/>
    <m/>
  </r>
  <r>
    <x v="17"/>
    <x v="17"/>
    <d v="2026-03-03T00:00:00"/>
    <n v="146.1"/>
    <n v="33.9"/>
    <n v="4.3097345132743365"/>
    <n v="2.2999999999999998"/>
    <n v="5"/>
    <n v="56"/>
    <n v="96.6"/>
  </r>
  <r>
    <x v="17"/>
    <x v="17"/>
    <d v="2026-02-03T00:00:00"/>
    <n v="167.7"/>
    <n v="41.2"/>
    <n v="4.0703883495145625"/>
    <n v="2.8"/>
    <n v="6"/>
    <n v="38.299999999999997"/>
    <n v="91.4"/>
  </r>
  <r>
    <x v="17"/>
    <x v="17"/>
    <d v="2026-01-07T00:00:00"/>
    <n v="89.8"/>
    <n v="23.2"/>
    <n v="3.8706896551724137"/>
    <n v="3.5"/>
    <n v="2"/>
    <n v="34.700000000000003"/>
    <n v="94.3"/>
  </r>
  <r>
    <x v="17"/>
    <x v="17"/>
    <d v="2026-02-04T00:00:00"/>
    <n v="283"/>
    <n v="89.4"/>
    <n v="3.1655480984340043"/>
    <n v="4.3"/>
    <n v="3"/>
    <n v="56.6"/>
    <n v="91.8"/>
  </r>
  <r>
    <x v="17"/>
    <x v="17"/>
    <d v="2026-03-24T00:00:00"/>
    <n v="360"/>
    <n v="72.400000000000006"/>
    <n v="4.9723756906077341"/>
    <n v="2.1"/>
    <n v="4"/>
    <n v="31"/>
    <n v="90.7"/>
  </r>
  <r>
    <x v="17"/>
    <x v="17"/>
    <d v="2026-01-20T00:00:00"/>
    <n v="306.8"/>
    <n v="83.6"/>
    <n v="3.6698564593301439"/>
    <n v="3"/>
    <n v="2"/>
    <n v="34.299999999999997"/>
    <n v="94.9"/>
  </r>
  <r>
    <x v="17"/>
    <x v="17"/>
    <d v="2026-02-11T00:00:00"/>
    <n v="392.6"/>
    <n v="100.3"/>
    <n v="3.914257228315055"/>
    <n v="2.9"/>
    <n v="6"/>
    <n v="57.4"/>
    <n v="93.4"/>
  </r>
  <r>
    <x v="17"/>
    <x v="17"/>
    <d v="2026-03-20T00:00:00"/>
    <n v="448.9"/>
    <n v="106.5"/>
    <n v="4.2150234741784036"/>
    <n v="1.2"/>
    <n v="5"/>
    <n v="65"/>
    <n v="89.9"/>
  </r>
  <r>
    <x v="17"/>
    <x v="17"/>
    <d v="2026-01-27T00:00:00"/>
    <n v="98.1"/>
    <n v="30.7"/>
    <n v="3.1954397394136809"/>
    <n v="3"/>
    <n v="1"/>
    <n v="36.5"/>
    <n v="85.5"/>
  </r>
  <r>
    <x v="17"/>
    <x v="17"/>
    <d v="2026-01-09T00:00:00"/>
    <n v="188.3"/>
    <n v="59.5"/>
    <n v="3.1647058823529415"/>
    <n v="3.2"/>
    <n v="5"/>
    <n v="44.8"/>
    <n v="91.2"/>
  </r>
  <r>
    <x v="17"/>
    <x v="17"/>
    <d v="2026-03-10T00:00:00"/>
    <n v="86.9"/>
    <n v="19.899999999999999"/>
    <n v="4.3668341708542719"/>
    <n v="1.6"/>
    <n v="6"/>
    <n v="33"/>
    <n v="87.2"/>
  </r>
  <r>
    <x v="17"/>
    <x v="17"/>
    <d v="2026-01-11T00:00:00"/>
    <n v="440.3"/>
    <n v="91"/>
    <n v="4.8384615384615381"/>
    <n v="2.2000000000000002"/>
    <n v="3"/>
    <n v="34.200000000000003"/>
    <n v="97"/>
  </r>
  <r>
    <x v="17"/>
    <x v="17"/>
    <d v="2026-01-07T00:00:00"/>
    <n v="80.3"/>
    <n v="18.600000000000001"/>
    <n v="4.3172043010752681"/>
    <n v="4.4000000000000004"/>
    <n v="2"/>
    <n v="68.8"/>
    <n v="98"/>
  </r>
  <r>
    <x v="17"/>
    <x v="17"/>
    <d v="2026-01-30T00:00:00"/>
    <n v="220.5"/>
    <n v="46.9"/>
    <n v="4.7014925373134329"/>
    <n v="2.2000000000000002"/>
    <n v="3"/>
    <n v="53.9"/>
    <n v="91.5"/>
  </r>
  <r>
    <x v="17"/>
    <x v="17"/>
    <d v="2026-01-02T00:00:00"/>
    <n v="336.5"/>
    <n v="86.3"/>
    <n v="3.8991888760139051"/>
    <n v="1.1000000000000001"/>
    <n v="6"/>
    <n v="43.3"/>
    <n v="94.7"/>
  </r>
  <r>
    <x v="17"/>
    <x v="17"/>
    <d v="2026-03-20T00:00:00"/>
    <n v="335.2"/>
    <n v="62.4"/>
    <n v="5.3717948717948714"/>
    <n v="3.8"/>
    <n v="2"/>
    <n v="48.8"/>
    <n v="98.7"/>
  </r>
  <r>
    <x v="17"/>
    <x v="17"/>
    <d v="2026-02-23T00:00:00"/>
    <n v="161.6"/>
    <n v="36.799999999999997"/>
    <n v="4.3913043478260869"/>
    <n v="3.7"/>
    <n v="1"/>
    <n v="64.099999999999994"/>
    <n v="87.4"/>
  </r>
  <r>
    <x v="17"/>
    <x v="17"/>
    <d v="2026-02-07T00:00:00"/>
    <n v="386.9"/>
    <n v="86.6"/>
    <n v="4.4676674364896076"/>
    <n v="3.9"/>
    <n v="4"/>
    <n v="61.7"/>
    <n v="85.7"/>
  </r>
  <r>
    <x v="18"/>
    <x v="18"/>
    <d v="2026-03-14T00:00:00"/>
    <n v="273.39999999999998"/>
    <n v="51.4"/>
    <n v="5.3190661478599219"/>
    <n v="1.1000000000000001"/>
    <n v="6"/>
    <n v="40.700000000000003"/>
    <n v="90.9"/>
  </r>
  <r>
    <x v="18"/>
    <x v="18"/>
    <d v="2026-03-12T00:00:00"/>
    <n v="134.80000000000001"/>
    <n v="42.9"/>
    <n v="3.1421911421911424"/>
    <n v="1.5"/>
    <n v="1"/>
    <n v="70.5"/>
    <n v="88.2"/>
  </r>
  <r>
    <x v="18"/>
    <x v="18"/>
    <d v="2026-02-04T00:00:00"/>
    <n v="199.3"/>
    <n v="57.6"/>
    <n v="3.4600694444444446"/>
    <n v="4.2"/>
    <n v="5"/>
    <n v="69.7"/>
    <n v="88.7"/>
  </r>
  <r>
    <x v="18"/>
    <x v="18"/>
    <d v="2026-03-09T00:00:00"/>
    <n v="300.8"/>
    <n v="55.2"/>
    <n v="5.4492753623188408"/>
    <n v="3.8"/>
    <n v="5"/>
    <n v="40.200000000000003"/>
    <n v="87.7"/>
  </r>
  <r>
    <x v="18"/>
    <x v="18"/>
    <d v="2026-03-17T00:00:00"/>
    <n v="431.8"/>
    <n v="78.5"/>
    <n v="5.5006369426751593"/>
    <n v="3.1"/>
    <n v="5"/>
    <n v="55.9"/>
    <n v="96.4"/>
  </r>
  <r>
    <x v="18"/>
    <x v="18"/>
    <d v="2026-03-26T00:00:00"/>
    <n v="261.2"/>
    <n v="81.599999999999994"/>
    <n v="3.2009803921568629"/>
    <n v="2.5"/>
    <n v="6"/>
    <n v="45"/>
    <n v="96.4"/>
  </r>
  <r>
    <x v="18"/>
    <x v="18"/>
    <d v="2026-02-08T00:00:00"/>
    <n v="316.39999999999998"/>
    <n v="80.2"/>
    <n v="3.9451371571072316"/>
    <n v="1.3"/>
    <n v="5"/>
    <n v="39"/>
    <n v="90.8"/>
  </r>
  <r>
    <x v="18"/>
    <x v="18"/>
    <d v="2026-03-04T00:00:00"/>
    <n v="275"/>
    <n v="75.7"/>
    <n v="3.6327608982826947"/>
    <n v="1.1000000000000001"/>
    <n v="1"/>
    <n v="30.3"/>
    <n v="89.5"/>
  </r>
  <r>
    <x v="18"/>
    <x v="18"/>
    <d v="2026-02-27T00:00:00"/>
    <n v="332"/>
    <n v="64.099999999999994"/>
    <n v="5.1794071762870519"/>
    <n v="3"/>
    <n v="6"/>
    <n v="68.900000000000006"/>
    <n v="94.4"/>
  </r>
  <r>
    <x v="18"/>
    <x v="18"/>
    <d v="2026-01-24T00:00:00"/>
    <n v="364.1"/>
    <n v="115.6"/>
    <n v="3.1496539792387548"/>
    <n v="2.4"/>
    <n v="1"/>
    <n v="67.400000000000006"/>
    <n v="92.8"/>
  </r>
  <r>
    <x v="18"/>
    <x v="18"/>
    <d v="2026-03-13T00:00:00"/>
    <n v="152"/>
    <n v="35.4"/>
    <n v="4.2937853107344637"/>
    <n v="0.5"/>
    <n v="8"/>
    <n v="64.400000000000006"/>
    <n v="89.2"/>
  </r>
  <r>
    <x v="18"/>
    <x v="18"/>
    <d v="2026-03-31T00:00:00"/>
    <n v="120.7"/>
    <n v="42.3"/>
    <n v="2.8534278959810879"/>
    <n v="1.5"/>
    <n v="3"/>
    <n v="48.6"/>
    <n v="88.1"/>
  </r>
  <r>
    <x v="18"/>
    <x v="18"/>
    <d v="2026-02-10T00:00:00"/>
    <n v="293.7"/>
    <n v="60.1"/>
    <n v="4.8868552412645592"/>
    <n v="3.7"/>
    <n v="4"/>
    <n v="43.6"/>
    <n v="87.1"/>
  </r>
  <r>
    <x v="18"/>
    <x v="18"/>
    <d v="2026-03-30T00:00:00"/>
    <n v="265.2"/>
    <n v="71.099999999999994"/>
    <n v="3.7299578059071732"/>
    <n v="0.3"/>
    <n v="2"/>
    <n v="43.3"/>
    <n v="98.8"/>
  </r>
  <r>
    <x v="18"/>
    <x v="18"/>
    <d v="2026-03-30T00:00:00"/>
    <n v="209.7"/>
    <n v="44.4"/>
    <n v="4.7229729729729728"/>
    <n v="2.9"/>
    <n v="3"/>
    <n v="57.7"/>
    <n v="96.8"/>
  </r>
  <r>
    <x v="18"/>
    <x v="18"/>
    <d v="2026-01-01T00:00:00"/>
    <n v="401.5"/>
    <n v="78.900000000000006"/>
    <n v="5.08871989860583"/>
    <n v="0.6"/>
    <n v="8"/>
    <n v="58.6"/>
    <n v="95.5"/>
  </r>
  <r>
    <x v="18"/>
    <x v="18"/>
    <d v="2026-02-25T00:00:00"/>
    <n v="384"/>
    <n v="99.3"/>
    <n v="3.8670694864048341"/>
    <n v="0.3"/>
    <n v="7"/>
    <n v="37.799999999999997"/>
    <n v="88.2"/>
  </r>
  <r>
    <x v="18"/>
    <x v="18"/>
    <d v="2026-02-19T00:00:00"/>
    <n v="211.3"/>
    <n v="41.7"/>
    <n v="5.0671462829736207"/>
    <n v="3.8"/>
    <n v="3"/>
    <n v="40.6"/>
    <n v="89.8"/>
  </r>
  <r>
    <x v="18"/>
    <x v="18"/>
    <d v="2026-03-25T00:00:00"/>
    <n v="360.6"/>
    <n v="105.8"/>
    <n v="3.408317580340265"/>
    <n v="2.1"/>
    <n v="1"/>
    <n v="43.3"/>
    <n v="89.8"/>
  </r>
  <r>
    <x v="18"/>
    <x v="18"/>
    <d v="2026-02-27T00:00:00"/>
    <n v="112.6"/>
    <n v="27.2"/>
    <n v="4.1397058823529411"/>
    <n v="1.6"/>
    <n v="8"/>
    <n v="63.5"/>
    <n v="85.3"/>
  </r>
  <r>
    <x v="18"/>
    <x v="18"/>
    <d v="2026-01-16T00:00:00"/>
    <n v="365.7"/>
    <n v="91.1"/>
    <n v="4.0142700329308454"/>
    <n v="3"/>
    <n v="3"/>
    <n v="73.400000000000006"/>
    <n v="85.1"/>
  </r>
  <r>
    <x v="18"/>
    <x v="18"/>
    <d v="2026-01-13T00:00:00"/>
    <n v="237.4"/>
    <n v="68.099999999999994"/>
    <n v="3.4860499265785614"/>
    <n v="3.5"/>
    <n v="2"/>
    <n v="42.7"/>
    <n v="98.2"/>
  </r>
  <r>
    <x v="18"/>
    <x v="18"/>
    <d v="2026-02-02T00:00:00"/>
    <n v="336.9"/>
    <n v="62.3"/>
    <n v="5.4077046548956664"/>
    <n v="2.6"/>
    <n v="4"/>
    <n v="64.099999999999994"/>
    <n v="99.4"/>
  </r>
  <r>
    <x v="18"/>
    <x v="18"/>
    <d v="2026-03-29T00:00:00"/>
    <n v="164.6"/>
    <n v="53.6"/>
    <n v="3.0708955223880596"/>
    <n v="1.4"/>
    <n v="4"/>
    <n v="55"/>
    <n v="97.8"/>
  </r>
  <r>
    <x v="18"/>
    <x v="18"/>
    <d v="2026-02-25T00:00:00"/>
    <n v="273.7"/>
    <n v="60.5"/>
    <n v="4.5239669421487605"/>
    <n v="1.5"/>
    <n v="6"/>
    <n v="51.7"/>
    <n v="88.4"/>
  </r>
  <r>
    <x v="18"/>
    <x v="18"/>
    <d v="2026-01-24T00:00:00"/>
    <n v="281.10000000000002"/>
    <n v="76.5"/>
    <n v="3.6745098039215689"/>
    <n v="2.2000000000000002"/>
    <n v="3"/>
    <n v="33.1"/>
    <n v="87.3"/>
  </r>
  <r>
    <x v="18"/>
    <x v="18"/>
    <d v="2026-03-15T00:00:00"/>
    <n v="137.19999999999999"/>
    <n v="47.3"/>
    <n v="2.9006342494714588"/>
    <n v="1.7"/>
    <n v="3"/>
    <n v="41.9"/>
    <m/>
  </r>
  <r>
    <x v="18"/>
    <x v="18"/>
    <d v="2026-02-18T00:00:00"/>
    <n v="109"/>
    <n v="36.9"/>
    <n v="2.9539295392953933"/>
    <n v="3.5"/>
    <n v="6"/>
    <n v="69.599999999999994"/>
    <n v="91.5"/>
  </r>
  <r>
    <x v="18"/>
    <x v="18"/>
    <d v="2026-01-12T00:00:00"/>
    <n v="121.6"/>
    <n v="31"/>
    <n v="3.9225806451612901"/>
    <n v="1.8"/>
    <n v="4"/>
    <n v="44.4"/>
    <n v="93.9"/>
  </r>
  <r>
    <x v="18"/>
    <x v="18"/>
    <d v="2026-03-19T00:00:00"/>
    <n v="190.4"/>
    <n v="36"/>
    <n v="5.2888888888888888"/>
    <n v="0.4"/>
    <n v="7"/>
    <n v="74.7"/>
    <n v="87.4"/>
  </r>
  <r>
    <x v="18"/>
    <x v="18"/>
    <d v="2026-02-09T00:00:00"/>
    <n v="306.8"/>
    <n v="58.6"/>
    <n v="5.2354948805460753"/>
    <n v="2.5"/>
    <n v="1"/>
    <n v="51.1"/>
    <n v="92.7"/>
  </r>
  <r>
    <x v="18"/>
    <x v="18"/>
    <d v="2026-02-20T00:00:00"/>
    <n v="250.6"/>
    <n v="54.2"/>
    <n v="4.6236162361623609"/>
    <n v="1.2"/>
    <n v="4"/>
    <n v="53.4"/>
    <n v="95.2"/>
  </r>
  <r>
    <x v="18"/>
    <x v="18"/>
    <d v="2026-01-31T00:00:00"/>
    <n v="261"/>
    <n v="87.9"/>
    <n v="2.9692832764505117"/>
    <n v="2.5"/>
    <n v="5"/>
    <n v="52.5"/>
    <n v="99.5"/>
  </r>
  <r>
    <x v="18"/>
    <x v="18"/>
    <d v="2026-01-09T00:00:00"/>
    <n v="382.6"/>
    <n v="123.9"/>
    <n v="3.0879741727199357"/>
    <n v="2.2999999999999998"/>
    <n v="4"/>
    <n v="32.799999999999997"/>
    <n v="88"/>
  </r>
  <r>
    <x v="18"/>
    <x v="18"/>
    <d v="2026-02-06T00:00:00"/>
    <n v="234"/>
    <n v="47"/>
    <n v="4.9787234042553195"/>
    <n v="3.5"/>
    <n v="3"/>
    <n v="39.299999999999997"/>
    <n v="94.6"/>
  </r>
  <r>
    <x v="18"/>
    <x v="18"/>
    <d v="2026-01-20T00:00:00"/>
    <n v="418.1"/>
    <n v="80"/>
    <n v="5.2262500000000003"/>
    <n v="2"/>
    <n v="1"/>
    <n v="31.8"/>
    <n v="92.1"/>
  </r>
  <r>
    <x v="19"/>
    <x v="19"/>
    <d v="2026-03-14T00:00:00"/>
    <n v="191.4"/>
    <n v="44.7"/>
    <n v="4.2818791946308723"/>
    <n v="0.2"/>
    <n v="5"/>
    <n v="39.5"/>
    <n v="96.8"/>
  </r>
  <r>
    <x v="19"/>
    <x v="19"/>
    <d v="2026-03-25T00:00:00"/>
    <n v="199.2"/>
    <n v="49.9"/>
    <n v="3.9919839679358717"/>
    <n v="3.1"/>
    <n v="8"/>
    <n v="65.7"/>
    <n v="99.4"/>
  </r>
  <r>
    <x v="19"/>
    <x v="19"/>
    <d v="2026-03-06T00:00:00"/>
    <n v="237.9"/>
    <n v="45.3"/>
    <n v="5.2516556291390737"/>
    <n v="2.1"/>
    <n v="3"/>
    <n v="63.5"/>
    <n v="92.1"/>
  </r>
  <r>
    <x v="19"/>
    <x v="19"/>
    <d v="2026-03-10T00:00:00"/>
    <n v="90"/>
    <n v="23.3"/>
    <n v="3.8626609442060085"/>
    <n v="2.6"/>
    <n v="1"/>
    <n v="33.799999999999997"/>
    <n v="91.4"/>
  </r>
  <r>
    <x v="19"/>
    <x v="19"/>
    <d v="2026-01-15T00:00:00"/>
    <n v="367.8"/>
    <n v="113.4"/>
    <n v="3.2433862433862433"/>
    <n v="1.5"/>
    <n v="1"/>
    <n v="71.8"/>
    <n v="93.6"/>
  </r>
  <r>
    <x v="19"/>
    <x v="19"/>
    <d v="2026-01-16T00:00:00"/>
    <n v="374.6"/>
    <n v="86.6"/>
    <n v="4.3256351039260972"/>
    <n v="0.4"/>
    <n v="7"/>
    <n v="59.8"/>
    <n v="86"/>
  </r>
  <r>
    <x v="19"/>
    <x v="19"/>
    <d v="2026-01-03T00:00:00"/>
    <n v="98.7"/>
    <m/>
    <e v="#DIV/0!"/>
    <n v="4.5"/>
    <n v="4"/>
    <n v="33.1"/>
    <n v="96.5"/>
  </r>
  <r>
    <x v="19"/>
    <x v="19"/>
    <d v="2026-01-19T00:00:00"/>
    <n v="104.3"/>
    <n v="29.4"/>
    <n v="3.5476190476190479"/>
    <n v="2.9"/>
    <n v="6"/>
    <n v="47.1"/>
    <n v="94"/>
  </r>
  <r>
    <x v="19"/>
    <x v="19"/>
    <d v="2026-03-20T00:00:00"/>
    <n v="329.7"/>
    <n v="76.599999999999994"/>
    <n v="4.304177545691906"/>
    <n v="2.8"/>
    <n v="5"/>
    <n v="31.3"/>
    <n v="89.1"/>
  </r>
  <r>
    <x v="19"/>
    <x v="19"/>
    <d v="2026-01-21T00:00:00"/>
    <n v="214.6"/>
    <n v="40.700000000000003"/>
    <n v="5.2727272727272725"/>
    <n v="1.9"/>
    <n v="6"/>
    <n v="60.6"/>
    <n v="85.8"/>
  </r>
  <r>
    <x v="19"/>
    <x v="19"/>
    <d v="2026-01-20T00:00:00"/>
    <n v="203.3"/>
    <n v="46.5"/>
    <n v="4.3720430107526882"/>
    <n v="0.8"/>
    <n v="6"/>
    <n v="44"/>
    <n v="94.8"/>
  </r>
  <r>
    <x v="19"/>
    <x v="19"/>
    <d v="2026-01-17T00:00:00"/>
    <n v="301"/>
    <n v="93.6"/>
    <n v="3.2158119658119659"/>
    <n v="1"/>
    <n v="3"/>
    <n v="62.5"/>
    <m/>
  </r>
  <r>
    <x v="19"/>
    <x v="19"/>
    <d v="2026-03-09T00:00:00"/>
    <n v="236.6"/>
    <n v="48.3"/>
    <n v="4.8985507246376816"/>
    <n v="1.2"/>
    <n v="2"/>
    <n v="32.1"/>
    <n v="91.3"/>
  </r>
  <r>
    <x v="19"/>
    <x v="19"/>
    <d v="2026-02-28T00:00:00"/>
    <n v="103.2"/>
    <n v="20.399999999999999"/>
    <n v="5.0588235294117654"/>
    <n v="2.2999999999999998"/>
    <n v="1"/>
    <n v="58.4"/>
    <n v="93.6"/>
  </r>
  <r>
    <x v="19"/>
    <x v="19"/>
    <d v="2026-03-28T00:00:00"/>
    <n v="369.1"/>
    <n v="127.5"/>
    <n v="2.8949019607843138"/>
    <n v="0.5"/>
    <n v="6"/>
    <n v="46.3"/>
    <n v="99.2"/>
  </r>
  <r>
    <x v="19"/>
    <x v="19"/>
    <d v="2026-03-29T00:00:00"/>
    <n v="306.10000000000002"/>
    <n v="97.3"/>
    <n v="3.1459403905447072"/>
    <n v="0.6"/>
    <n v="6"/>
    <n v="65.8"/>
    <n v="90.1"/>
  </r>
  <r>
    <x v="19"/>
    <x v="19"/>
    <d v="2026-03-19T00:00:00"/>
    <n v="94.6"/>
    <n v="31.6"/>
    <n v="2.9936708860759489"/>
    <n v="3.7"/>
    <n v="4"/>
    <n v="51.6"/>
    <n v="98"/>
  </r>
  <r>
    <x v="19"/>
    <x v="19"/>
    <d v="2026-03-03T00:00:00"/>
    <n v="323.89999999999998"/>
    <n v="113.9"/>
    <n v="2.8437225636523262"/>
    <n v="2.5"/>
    <n v="7"/>
    <n v="30.5"/>
    <n v="92.9"/>
  </r>
  <r>
    <x v="19"/>
    <x v="19"/>
    <d v="2026-01-18T00:00:00"/>
    <n v="191.2"/>
    <n v="43.2"/>
    <n v="4.4259259259259256"/>
    <n v="3.2"/>
    <n v="8"/>
    <n v="44.1"/>
    <n v="99.5"/>
  </r>
  <r>
    <x v="19"/>
    <x v="19"/>
    <d v="2026-02-19T00:00:00"/>
    <n v="306.2"/>
    <n v="69.8"/>
    <n v="4.3868194842406876"/>
    <n v="1.7"/>
    <n v="8"/>
    <n v="57.8"/>
    <n v="97.2"/>
  </r>
  <r>
    <x v="19"/>
    <x v="19"/>
    <d v="2026-03-25T00:00:00"/>
    <n v="140.69999999999999"/>
    <n v="37.5"/>
    <n v="3.7519999999999998"/>
    <n v="1.1000000000000001"/>
    <n v="3"/>
    <n v="71.400000000000006"/>
    <n v="94.2"/>
  </r>
  <r>
    <x v="19"/>
    <x v="19"/>
    <d v="2026-02-15T00:00:00"/>
    <n v="162.6"/>
    <n v="37"/>
    <n v="4.3945945945945946"/>
    <n v="1"/>
    <n v="5"/>
    <n v="63"/>
    <n v="89.4"/>
  </r>
  <r>
    <x v="19"/>
    <x v="19"/>
    <d v="2026-01-29T00:00:00"/>
    <n v="316.7"/>
    <n v="102.8"/>
    <n v="3.0807392996108951"/>
    <n v="2.2999999999999998"/>
    <n v="6"/>
    <n v="63.5"/>
    <n v="88.6"/>
  </r>
  <r>
    <x v="19"/>
    <x v="19"/>
    <d v="2026-02-25T00:00:00"/>
    <n v="138.1"/>
    <n v="44.9"/>
    <n v="3.0757238307349666"/>
    <n v="1.1000000000000001"/>
    <n v="4"/>
    <n v="48.4"/>
    <n v="93.3"/>
  </r>
  <r>
    <x v="19"/>
    <x v="19"/>
    <d v="2026-03-02T00:00:00"/>
    <n v="93.9"/>
    <n v="26.5"/>
    <n v="3.5433962264150947"/>
    <n v="0.8"/>
    <n v="7"/>
    <n v="31.7"/>
    <n v="98.3"/>
  </r>
  <r>
    <x v="19"/>
    <x v="19"/>
    <d v="2026-02-20T00:00:00"/>
    <n v="296.3"/>
    <n v="105.1"/>
    <n v="2.8192197906755472"/>
    <n v="4.5"/>
    <n v="6"/>
    <n v="55.3"/>
    <n v="93.9"/>
  </r>
  <r>
    <x v="19"/>
    <x v="19"/>
    <d v="2026-03-02T00:00:00"/>
    <n v="345.2"/>
    <n v="91.3"/>
    <n v="3.7809419496166483"/>
    <n v="2.1"/>
    <n v="2"/>
    <n v="64.2"/>
    <n v="88.3"/>
  </r>
  <r>
    <x v="19"/>
    <x v="19"/>
    <d v="2026-02-26T00:00:00"/>
    <n v="387.1"/>
    <n v="73.599999999999994"/>
    <n v="5.2595108695652177"/>
    <n v="3.2"/>
    <n v="6"/>
    <n v="64"/>
    <n v="93.2"/>
  </r>
  <r>
    <x v="19"/>
    <x v="19"/>
    <d v="2026-01-26T00:00:00"/>
    <n v="367.2"/>
    <n v="68"/>
    <n v="5.3999999999999995"/>
    <n v="1.5"/>
    <n v="3"/>
    <n v="74.3"/>
    <n v="86.1"/>
  </r>
  <r>
    <x v="19"/>
    <x v="19"/>
    <d v="2026-03-26T00:00:00"/>
    <n v="191.4"/>
    <n v="38.799999999999997"/>
    <n v="4.9329896907216497"/>
    <n v="2.6"/>
    <n v="2"/>
    <n v="65.3"/>
    <n v="89.8"/>
  </r>
  <r>
    <x v="19"/>
    <x v="19"/>
    <d v="2026-03-29T00:00:00"/>
    <n v="141.4"/>
    <n v="33.799999999999997"/>
    <n v="4.1834319526627226"/>
    <n v="2.1"/>
    <n v="3"/>
    <n v="55.5"/>
    <n v="93.5"/>
  </r>
  <r>
    <x v="19"/>
    <x v="19"/>
    <d v="2026-01-16T00:00:00"/>
    <n v="324.60000000000002"/>
    <n v="82.8"/>
    <n v="3.9202898550724643"/>
    <n v="1.6"/>
    <n v="2"/>
    <n v="51.7"/>
    <n v="92.2"/>
  </r>
  <r>
    <x v="19"/>
    <x v="19"/>
    <d v="2026-03-02T00:00:00"/>
    <n v="400.9"/>
    <n v="123"/>
    <n v="3.2593495934959349"/>
    <n v="3.8"/>
    <n v="3"/>
    <n v="65.8"/>
    <n v="97.3"/>
  </r>
  <r>
    <x v="19"/>
    <x v="19"/>
    <d v="2026-03-11T00:00:00"/>
    <n v="386.2"/>
    <n v="74"/>
    <n v="5.2189189189189191"/>
    <n v="3.5"/>
    <n v="7"/>
    <n v="53.5"/>
    <n v="90.6"/>
  </r>
  <r>
    <x v="19"/>
    <x v="19"/>
    <d v="2026-01-26T00:00:00"/>
    <n v="293.39999999999998"/>
    <n v="64.400000000000006"/>
    <n v="4.5559006211180115"/>
    <n v="2.5"/>
    <n v="5"/>
    <n v="46"/>
    <n v="95.1"/>
  </r>
  <r>
    <x v="19"/>
    <x v="19"/>
    <d v="2026-02-16T00:00:00"/>
    <n v="367.1"/>
    <n v="106.6"/>
    <n v="3.4437148217636024"/>
    <n v="3.3"/>
    <n v="7"/>
    <n v="38.5"/>
    <n v="95.2"/>
  </r>
  <r>
    <x v="19"/>
    <x v="19"/>
    <d v="2026-01-19T00:00:00"/>
    <n v="401.4"/>
    <n v="80.099999999999994"/>
    <n v="5.01123595505618"/>
    <n v="0.3"/>
    <n v="2"/>
    <n v="43.7"/>
    <n v="92.1"/>
  </r>
  <r>
    <x v="19"/>
    <x v="19"/>
    <d v="2026-01-30T00:00:00"/>
    <n v="165.4"/>
    <n v="57.6"/>
    <n v="2.8715277777777777"/>
    <n v="0.5"/>
    <n v="8"/>
    <n v="36"/>
    <n v="97.7"/>
  </r>
  <r>
    <x v="19"/>
    <x v="19"/>
    <d v="2026-02-18T00:00:00"/>
    <n v="346.5"/>
    <n v="89.7"/>
    <n v="3.8628762541806019"/>
    <n v="4.2"/>
    <n v="1"/>
    <n v="53.4"/>
    <n v="91.8"/>
  </r>
  <r>
    <x v="19"/>
    <x v="19"/>
    <d v="2026-01-07T00:00:00"/>
    <n v="335.3"/>
    <n v="64"/>
    <n v="5.2390625000000002"/>
    <n v="2.2000000000000002"/>
    <n v="8"/>
    <n v="34.1"/>
    <n v="92.5"/>
  </r>
  <r>
    <x v="19"/>
    <x v="19"/>
    <d v="2026-03-17T00:00:00"/>
    <n v="312.89999999999998"/>
    <n v="67.099999999999994"/>
    <n v="4.6631892697466473"/>
    <n v="2.1"/>
    <n v="6"/>
    <n v="44.1"/>
    <n v="97.3"/>
  </r>
  <r>
    <x v="19"/>
    <x v="19"/>
    <d v="2026-02-18T00:00:00"/>
    <n v="201.1"/>
    <n v="44.3"/>
    <n v="4.5395033860045144"/>
    <n v="0.5"/>
    <n v="4"/>
    <n v="66.8"/>
    <n v="98.3"/>
  </r>
  <r>
    <x v="19"/>
    <x v="19"/>
    <d v="2026-01-12T00:00:00"/>
    <n v="170.7"/>
    <n v="37.9"/>
    <n v="4.5039577836411606"/>
    <n v="3.1"/>
    <n v="2"/>
    <n v="60.8"/>
    <n v="93.1"/>
  </r>
  <r>
    <x v="19"/>
    <x v="19"/>
    <d v="2026-02-08T00:00:00"/>
    <n v="349"/>
    <n v="80.7"/>
    <n v="4.3246592317224284"/>
    <n v="0.5"/>
    <n v="8"/>
    <n v="56"/>
    <n v="93.6"/>
  </r>
  <r>
    <x v="19"/>
    <x v="19"/>
    <d v="2026-03-26T00:00:00"/>
    <n v="410.8"/>
    <n v="121.3"/>
    <n v="3.3866446826051115"/>
    <n v="2.8"/>
    <n v="2"/>
    <n v="61.9"/>
    <n v="86.8"/>
  </r>
  <r>
    <x v="19"/>
    <x v="19"/>
    <d v="2026-01-17T00:00:00"/>
    <n v="219.1"/>
    <n v="45.1"/>
    <n v="4.8580931263858087"/>
    <n v="3"/>
    <n v="3"/>
    <n v="70.3"/>
    <n v="95.4"/>
  </r>
  <r>
    <x v="19"/>
    <x v="19"/>
    <d v="2026-02-18T00:00:00"/>
    <n v="367.7"/>
    <n v="129.4"/>
    <n v="2.8415765069551777"/>
    <n v="2.2999999999999998"/>
    <n v="1"/>
    <n v="30.3"/>
    <n v="98.9"/>
  </r>
  <r>
    <x v="19"/>
    <x v="19"/>
    <d v="2026-01-12T00:00:00"/>
    <n v="312.10000000000002"/>
    <n v="63.5"/>
    <n v="4.9149606299212598"/>
    <n v="1.7"/>
    <n v="1"/>
    <n v="55.1"/>
    <n v="87.9"/>
  </r>
  <r>
    <x v="19"/>
    <x v="19"/>
    <d v="2026-01-06T00:00:00"/>
    <n v="215.3"/>
    <n v="65.8"/>
    <n v="3.2720364741641341"/>
    <n v="2.6"/>
    <n v="2"/>
    <n v="55.2"/>
    <n v="96.6"/>
  </r>
  <r>
    <x v="20"/>
    <x v="20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x v="0"/>
    <d v="2026-02-14T14:55:00"/>
    <x v="0"/>
    <x v="0"/>
    <n v="21.7"/>
    <s v="Vadodara"/>
  </r>
  <r>
    <x v="0"/>
    <d v="2026-02-02T22:53:00"/>
    <x v="1"/>
    <x v="0"/>
    <n v="23.7"/>
    <s v="Ahmedabad"/>
  </r>
  <r>
    <x v="0"/>
    <d v="2026-03-05T21:10:00"/>
    <x v="2"/>
    <x v="1"/>
    <n v="7.6"/>
    <s v="Bharuch"/>
  </r>
  <r>
    <x v="0"/>
    <d v="2026-02-22T20:20:00"/>
    <x v="3"/>
    <x v="2"/>
    <n v="25.4"/>
    <s v="Ahmedabad"/>
  </r>
  <r>
    <x v="0"/>
    <d v="2026-01-21T02:21:00"/>
    <x v="4"/>
    <x v="2"/>
    <n v="32.799999999999997"/>
    <s v="Ahmedabad"/>
  </r>
  <r>
    <x v="0"/>
    <d v="2026-03-22T21:10:00"/>
    <x v="2"/>
    <x v="1"/>
    <n v="25.1"/>
    <s v="Vadodara"/>
  </r>
  <r>
    <x v="0"/>
    <d v="2026-01-12T03:39:00"/>
    <x v="5"/>
    <x v="2"/>
    <n v="141.19999999999999"/>
    <s v="Rajkot"/>
  </r>
  <r>
    <x v="0"/>
    <d v="2026-01-30T15:14:00"/>
    <x v="6"/>
    <x v="1"/>
    <n v="13.5"/>
    <s v="Bharuch"/>
  </r>
  <r>
    <x v="0"/>
    <d v="2026-03-12T04:07:00"/>
    <x v="7"/>
    <x v="1"/>
    <n v="14.8"/>
    <s v="Bharuch"/>
  </r>
  <r>
    <x v="0"/>
    <d v="2026-03-25T02:34:00"/>
    <x v="4"/>
    <x v="2"/>
    <n v="66.5"/>
    <s v="Vadodara"/>
  </r>
  <r>
    <x v="0"/>
    <d v="2026-02-24T09:03:00"/>
    <x v="8"/>
    <x v="1"/>
    <n v="41.8"/>
    <s v="Surat"/>
  </r>
  <r>
    <x v="0"/>
    <d v="2026-02-15T02:15:00"/>
    <x v="4"/>
    <x v="1"/>
    <n v="48.5"/>
    <s v="Remote Route"/>
  </r>
  <r>
    <x v="0"/>
    <d v="2026-02-20T01:40:00"/>
    <x v="9"/>
    <x v="1"/>
    <n v="52.1"/>
    <s v="Remote Route"/>
  </r>
  <r>
    <x v="1"/>
    <d v="2026-02-04T02:49:00"/>
    <x v="4"/>
    <x v="0"/>
    <n v="19.7"/>
    <s v="Vadodara"/>
  </r>
  <r>
    <x v="1"/>
    <d v="2026-03-08T12:34:00"/>
    <x v="10"/>
    <x v="3"/>
    <n v="39"/>
    <s v="Indore"/>
  </r>
  <r>
    <x v="1"/>
    <d v="2026-02-24T02:55:00"/>
    <x v="4"/>
    <x v="1"/>
    <n v="14.4"/>
    <s v="Vadodara"/>
  </r>
  <r>
    <x v="1"/>
    <d v="2026-03-30T16:45:00"/>
    <x v="11"/>
    <x v="1"/>
    <n v="25.3"/>
    <s v="Vadodara"/>
  </r>
  <r>
    <x v="1"/>
    <d v="2026-01-27T09:20:00"/>
    <x v="8"/>
    <x v="3"/>
    <n v="39.700000000000003"/>
    <s v="Bharuch"/>
  </r>
  <r>
    <x v="1"/>
    <d v="2026-03-24T19:25:00"/>
    <x v="12"/>
    <x v="3"/>
    <n v="105.2"/>
    <s v="Ahmedabad"/>
  </r>
  <r>
    <x v="1"/>
    <d v="2026-03-27T11:25:00"/>
    <x v="13"/>
    <x v="0"/>
    <n v="40.4"/>
    <s v="Ahmedabad"/>
  </r>
  <r>
    <x v="1"/>
    <d v="2026-02-21T02:10:00"/>
    <x v="4"/>
    <x v="2"/>
    <n v="37.200000000000003"/>
    <s v="Indore"/>
  </r>
  <r>
    <x v="1"/>
    <d v="2026-01-14T03:57:00"/>
    <x v="5"/>
    <x v="0"/>
    <n v="26.5"/>
    <s v="Bharuch"/>
  </r>
  <r>
    <x v="1"/>
    <d v="2026-02-03T07:18:00"/>
    <x v="14"/>
    <x v="0"/>
    <n v="41.9"/>
    <s v="Ahmedabad"/>
  </r>
  <r>
    <x v="1"/>
    <d v="2026-01-26T15:08:00"/>
    <x v="6"/>
    <x v="3"/>
    <n v="110.2"/>
    <s v="Surat"/>
  </r>
  <r>
    <x v="1"/>
    <d v="2026-03-24T22:00:00"/>
    <x v="1"/>
    <x v="1"/>
    <n v="47.8"/>
    <s v="Ahmedabad"/>
  </r>
  <r>
    <x v="2"/>
    <d v="2026-03-18T12:04:00"/>
    <x v="10"/>
    <x v="2"/>
    <n v="61"/>
    <s v="Rajkot"/>
  </r>
  <r>
    <x v="2"/>
    <d v="2026-02-28T12:36:00"/>
    <x v="10"/>
    <x v="3"/>
    <n v="22.1"/>
    <s v="Bharuch"/>
  </r>
  <r>
    <x v="2"/>
    <d v="2026-03-22T11:00:00"/>
    <x v="13"/>
    <x v="3"/>
    <n v="149.69999999999999"/>
    <s v="Rajkot"/>
  </r>
  <r>
    <x v="2"/>
    <d v="2026-03-28T04:23:00"/>
    <x v="7"/>
    <x v="1"/>
    <n v="45.9"/>
    <s v="Indore"/>
  </r>
  <r>
    <x v="2"/>
    <d v="2026-01-26T16:12:00"/>
    <x v="11"/>
    <x v="2"/>
    <n v="45.2"/>
    <s v="Bharuch"/>
  </r>
  <r>
    <x v="2"/>
    <d v="2026-03-28T00:18:00"/>
    <x v="15"/>
    <x v="3"/>
    <n v="107"/>
    <s v="Surat"/>
  </r>
  <r>
    <x v="2"/>
    <d v="2026-02-11T14:29:00"/>
    <x v="0"/>
    <x v="2"/>
    <n v="34.5"/>
    <s v="Indore"/>
  </r>
  <r>
    <x v="2"/>
    <d v="2026-03-30T03:23:00"/>
    <x v="5"/>
    <x v="1"/>
    <n v="15.5"/>
    <s v="Vadodara"/>
  </r>
  <r>
    <x v="2"/>
    <d v="2026-02-04T08:35:00"/>
    <x v="16"/>
    <x v="3"/>
    <n v="54.6"/>
    <s v="Ahmedabad"/>
  </r>
  <r>
    <x v="2"/>
    <d v="2026-02-16T05:26:00"/>
    <x v="17"/>
    <x v="3"/>
    <n v="142.30000000000001"/>
    <s v="Rajkot"/>
  </r>
  <r>
    <x v="2"/>
    <d v="2026-03-07T17:32:00"/>
    <x v="18"/>
    <x v="0"/>
    <n v="34.6"/>
    <s v="Rajkot"/>
  </r>
  <r>
    <x v="2"/>
    <d v="2026-03-06T06:30:00"/>
    <x v="19"/>
    <x v="3"/>
    <n v="91.8"/>
    <s v="Indore"/>
  </r>
  <r>
    <x v="2"/>
    <d v="2026-01-19T14:37:00"/>
    <x v="0"/>
    <x v="1"/>
    <n v="50.2"/>
    <s v="Ahmedabad"/>
  </r>
  <r>
    <x v="2"/>
    <d v="2026-02-16T06:57:00"/>
    <x v="19"/>
    <x v="2"/>
    <n v="111.4"/>
    <s v="Vadodara"/>
  </r>
  <r>
    <x v="2"/>
    <d v="2026-01-03T17:46:00"/>
    <x v="18"/>
    <x v="2"/>
    <n v="65.599999999999994"/>
    <s v="Indore"/>
  </r>
  <r>
    <x v="2"/>
    <d v="2026-03-01T16:17:00"/>
    <x v="11"/>
    <x v="3"/>
    <n v="61.2"/>
    <s v="Rajkot"/>
  </r>
  <r>
    <x v="2"/>
    <d v="2026-02-05T10:15:00"/>
    <x v="20"/>
    <x v="1"/>
    <n v="47.3"/>
    <s v="Ahmedabad"/>
  </r>
  <r>
    <x v="2"/>
    <d v="2026-02-20T16:08:00"/>
    <x v="11"/>
    <x v="3"/>
    <n v="43.9"/>
    <s v="Surat"/>
  </r>
  <r>
    <x v="3"/>
    <d v="2026-01-06T02:42:00"/>
    <x v="4"/>
    <x v="1"/>
    <n v="11.9"/>
    <s v="Vadodara"/>
  </r>
  <r>
    <x v="3"/>
    <d v="2026-03-21T02:32:00"/>
    <x v="4"/>
    <x v="3"/>
    <n v="111.9"/>
    <s v="Vadodara"/>
  </r>
  <r>
    <x v="3"/>
    <d v="2026-01-17T03:29:00"/>
    <x v="5"/>
    <x v="3"/>
    <n v="91.7"/>
    <s v="Vadodara"/>
  </r>
  <r>
    <x v="3"/>
    <d v="2026-03-07T03:37:00"/>
    <x v="5"/>
    <x v="3"/>
    <n v="115.7"/>
    <s v="Indore"/>
  </r>
  <r>
    <x v="3"/>
    <d v="2026-03-01T22:05:00"/>
    <x v="1"/>
    <x v="1"/>
    <n v="41.8"/>
    <s v="Surat"/>
  </r>
  <r>
    <x v="3"/>
    <d v="2026-03-13T04:33:00"/>
    <x v="7"/>
    <x v="2"/>
    <n v="98"/>
    <s v="Bharuch"/>
  </r>
  <r>
    <x v="3"/>
    <d v="2026-01-13T09:40:00"/>
    <x v="8"/>
    <x v="1"/>
    <n v="43.5"/>
    <s v="Rajkot"/>
  </r>
  <r>
    <x v="3"/>
    <d v="2026-01-29T18:30:00"/>
    <x v="21"/>
    <x v="3"/>
    <n v="134.4"/>
    <s v="Ahmedabad"/>
  </r>
  <r>
    <x v="3"/>
    <d v="2026-01-16T05:31:00"/>
    <x v="17"/>
    <x v="3"/>
    <n v="38.799999999999997"/>
    <s v="Indore"/>
  </r>
  <r>
    <x v="3"/>
    <d v="2026-03-27T20:27:00"/>
    <x v="3"/>
    <x v="2"/>
    <n v="111.8"/>
    <s v="Indore"/>
  </r>
  <r>
    <x v="3"/>
    <d v="2026-03-18T13:22:00"/>
    <x v="22"/>
    <x v="1"/>
    <n v="25.9"/>
    <s v="Surat"/>
  </r>
  <r>
    <x v="4"/>
    <d v="2026-02-13T17:21:00"/>
    <x v="18"/>
    <x v="1"/>
    <n v="14"/>
    <s v="Rajkot"/>
  </r>
  <r>
    <x v="4"/>
    <d v="2026-03-10T04:50:00"/>
    <x v="7"/>
    <x v="0"/>
    <n v="32.1"/>
    <s v="Rajkot"/>
  </r>
  <r>
    <x v="4"/>
    <d v="2026-03-03T17:02:00"/>
    <x v="18"/>
    <x v="0"/>
    <n v="59.9"/>
    <s v="Ahmedabad"/>
  </r>
  <r>
    <x v="4"/>
    <d v="2026-03-19T03:17:00"/>
    <x v="5"/>
    <x v="2"/>
    <n v="136.1"/>
    <s v="Vadodara"/>
  </r>
  <r>
    <x v="4"/>
    <d v="2026-02-09T09:56:00"/>
    <x v="8"/>
    <x v="1"/>
    <n v="28.5"/>
    <s v="Rajkot"/>
  </r>
  <r>
    <x v="4"/>
    <d v="2026-03-26T18:19:00"/>
    <x v="21"/>
    <x v="3"/>
    <n v="86.3"/>
    <s v="Indore"/>
  </r>
  <r>
    <x v="4"/>
    <d v="2026-03-06T21:45:00"/>
    <x v="2"/>
    <x v="2"/>
    <n v="119.3"/>
    <s v="Rajkot"/>
  </r>
  <r>
    <x v="4"/>
    <d v="2026-01-19T20:10:00"/>
    <x v="3"/>
    <x v="0"/>
    <n v="45.9"/>
    <s v="Ahmedabad"/>
  </r>
  <r>
    <x v="4"/>
    <d v="2026-01-22T11:44:00"/>
    <x v="13"/>
    <x v="1"/>
    <n v="12.7"/>
    <s v="Surat"/>
  </r>
  <r>
    <x v="4"/>
    <d v="2026-01-31T21:19:00"/>
    <x v="2"/>
    <x v="1"/>
    <n v="29.8"/>
    <s v="Ahmedabad"/>
  </r>
  <r>
    <x v="4"/>
    <d v="2026-02-04T05:31:00"/>
    <x v="17"/>
    <x v="1"/>
    <n v="41.8"/>
    <s v="Indore"/>
  </r>
  <r>
    <x v="4"/>
    <d v="2026-01-10T11:40:00"/>
    <x v="13"/>
    <x v="1"/>
    <n v="57.6"/>
    <s v="Vadodara"/>
  </r>
  <r>
    <x v="4"/>
    <d v="2026-02-03T07:27:00"/>
    <x v="14"/>
    <x v="1"/>
    <n v="55.5"/>
    <s v="Bharuch"/>
  </r>
  <r>
    <x v="4"/>
    <d v="2026-01-17T22:54:00"/>
    <x v="1"/>
    <x v="1"/>
    <n v="39.299999999999997"/>
    <s v="Bharuch"/>
  </r>
  <r>
    <x v="4"/>
    <d v="2026-03-03T13:08:00"/>
    <x v="22"/>
    <x v="0"/>
    <n v="44.7"/>
    <s v="Vadodara"/>
  </r>
  <r>
    <x v="4"/>
    <d v="2026-03-10T09:58:00"/>
    <x v="8"/>
    <x v="0"/>
    <n v="8.8000000000000007"/>
    <s v="Surat"/>
  </r>
  <r>
    <x v="4"/>
    <d v="2026-02-15T03:40:00"/>
    <x v="5"/>
    <x v="2"/>
    <n v="118"/>
    <s v="Rajkot"/>
  </r>
  <r>
    <x v="4"/>
    <d v="2026-03-26T03:47:00"/>
    <x v="5"/>
    <x v="1"/>
    <n v="55.1"/>
    <s v="Vadodara"/>
  </r>
  <r>
    <x v="4"/>
    <d v="2026-02-18T08:37:00"/>
    <x v="16"/>
    <x v="2"/>
    <n v="32.6"/>
    <s v="Ahmedabad"/>
  </r>
  <r>
    <x v="5"/>
    <d v="2026-03-17T12:27:00"/>
    <x v="10"/>
    <x v="2"/>
    <n v="116.4"/>
    <s v="Rajkot"/>
  </r>
  <r>
    <x v="5"/>
    <d v="2026-03-08T10:55:00"/>
    <x v="20"/>
    <x v="1"/>
    <n v="23.9"/>
    <s v="Vadodara"/>
  </r>
  <r>
    <x v="5"/>
    <d v="2026-03-09T06:19:00"/>
    <x v="19"/>
    <x v="0"/>
    <n v="52.6"/>
    <s v="Rajkot"/>
  </r>
  <r>
    <x v="5"/>
    <d v="2026-03-20T10:28:00"/>
    <x v="20"/>
    <x v="2"/>
    <n v="115.3"/>
    <s v="Indore"/>
  </r>
  <r>
    <x v="5"/>
    <d v="2026-03-10T08:26:00"/>
    <x v="16"/>
    <x v="1"/>
    <n v="47.8"/>
    <s v="Rajkot"/>
  </r>
  <r>
    <x v="5"/>
    <d v="2026-01-14T21:39:00"/>
    <x v="2"/>
    <x v="2"/>
    <n v="50.1"/>
    <s v="Rajkot"/>
  </r>
  <r>
    <x v="5"/>
    <d v="2026-01-17T20:28:00"/>
    <x v="3"/>
    <x v="1"/>
    <n v="49.9"/>
    <s v="Rajkot"/>
  </r>
  <r>
    <x v="5"/>
    <d v="2026-01-26T14:30:00"/>
    <x v="0"/>
    <x v="3"/>
    <n v="81.900000000000006"/>
    <s v="Rajkot"/>
  </r>
  <r>
    <x v="5"/>
    <d v="2026-03-08T07:58:00"/>
    <x v="14"/>
    <x v="0"/>
    <n v="49.4"/>
    <s v="Vadodara"/>
  </r>
  <r>
    <x v="5"/>
    <d v="2026-03-25T21:21:00"/>
    <x v="2"/>
    <x v="1"/>
    <n v="44.7"/>
    <s v="Ahmedabad"/>
  </r>
  <r>
    <x v="5"/>
    <d v="2026-01-31T16:08:00"/>
    <x v="11"/>
    <x v="1"/>
    <n v="40.4"/>
    <s v="Rajkot"/>
  </r>
  <r>
    <x v="5"/>
    <d v="2026-03-15T13:11:00"/>
    <x v="22"/>
    <x v="3"/>
    <n v="49.3"/>
    <s v="Bharuch"/>
  </r>
  <r>
    <x v="5"/>
    <d v="2026-03-05T23:30:00"/>
    <x v="23"/>
    <x v="1"/>
    <n v="11.3"/>
    <s v="Vadodara"/>
  </r>
  <r>
    <x v="5"/>
    <d v="2026-03-07T07:03:00"/>
    <x v="14"/>
    <x v="1"/>
    <n v="33.799999999999997"/>
    <s v="Ahmedabad"/>
  </r>
  <r>
    <x v="5"/>
    <d v="2026-01-03T12:49:00"/>
    <x v="10"/>
    <x v="1"/>
    <n v="16.5"/>
    <s v="Vadodara"/>
  </r>
  <r>
    <x v="5"/>
    <d v="2026-02-27T10:03:00"/>
    <x v="20"/>
    <x v="2"/>
    <n v="78.900000000000006"/>
    <s v="Surat"/>
  </r>
  <r>
    <x v="5"/>
    <d v="2026-03-20T10:19:00"/>
    <x v="20"/>
    <x v="1"/>
    <n v="59"/>
    <s v="Rajkot"/>
  </r>
  <r>
    <x v="6"/>
    <d v="2026-02-19T05:26:00"/>
    <x v="17"/>
    <x v="1"/>
    <n v="53.2"/>
    <s v="Ahmedabad"/>
  </r>
  <r>
    <x v="6"/>
    <d v="2026-01-31T00:51:00"/>
    <x v="15"/>
    <x v="0"/>
    <n v="12.1"/>
    <s v="Vadodara"/>
  </r>
  <r>
    <x v="6"/>
    <d v="2026-02-12T07:44:00"/>
    <x v="14"/>
    <x v="0"/>
    <n v="35.700000000000003"/>
    <s v="Surat"/>
  </r>
  <r>
    <x v="6"/>
    <d v="2026-02-07T06:37:00"/>
    <x v="19"/>
    <x v="2"/>
    <n v="117.5"/>
    <s v="Surat"/>
  </r>
  <r>
    <x v="6"/>
    <d v="2026-03-20T14:01:00"/>
    <x v="0"/>
    <x v="1"/>
    <n v="13.7"/>
    <s v="Surat"/>
  </r>
  <r>
    <x v="6"/>
    <d v="2026-01-30T09:47:00"/>
    <x v="8"/>
    <x v="0"/>
    <n v="32.799999999999997"/>
    <s v="Indore"/>
  </r>
  <r>
    <x v="6"/>
    <d v="2026-03-08T19:13:00"/>
    <x v="12"/>
    <x v="1"/>
    <n v="6.9"/>
    <s v="Indore"/>
  </r>
  <r>
    <x v="6"/>
    <d v="2026-02-08T20:26:00"/>
    <x v="3"/>
    <x v="1"/>
    <n v="29.4"/>
    <s v="Indore"/>
  </r>
  <r>
    <x v="6"/>
    <d v="2026-02-02T07:12:00"/>
    <x v="14"/>
    <x v="1"/>
    <n v="29.3"/>
    <s v="Vadodara"/>
  </r>
  <r>
    <x v="6"/>
    <d v="2026-02-07T05:31:00"/>
    <x v="17"/>
    <x v="2"/>
    <n v="72.3"/>
    <s v="Ahmedabad"/>
  </r>
  <r>
    <x v="6"/>
    <d v="2026-01-26T01:14:00"/>
    <x v="9"/>
    <x v="1"/>
    <n v="14.5"/>
    <s v="Rajkot"/>
  </r>
  <r>
    <x v="6"/>
    <d v="2026-01-29T22:29:00"/>
    <x v="1"/>
    <x v="1"/>
    <n v="10.199999999999999"/>
    <s v="Indore"/>
  </r>
  <r>
    <x v="6"/>
    <d v="2026-03-05T03:10:00"/>
    <x v="5"/>
    <x v="1"/>
    <n v="44.3"/>
    <s v="Remote Route"/>
  </r>
  <r>
    <x v="7"/>
    <d v="2026-03-11T15:11:00"/>
    <x v="6"/>
    <x v="1"/>
    <n v="59.6"/>
    <s v="Rajkot"/>
  </r>
  <r>
    <x v="7"/>
    <d v="2026-01-27T10:16:00"/>
    <x v="20"/>
    <x v="0"/>
    <n v="7.4"/>
    <s v="Bharuch"/>
  </r>
  <r>
    <x v="7"/>
    <d v="2026-01-11T19:20:00"/>
    <x v="12"/>
    <x v="2"/>
    <n v="64.3"/>
    <s v="Bharuch"/>
  </r>
  <r>
    <x v="7"/>
    <d v="2026-02-06T16:05:00"/>
    <x v="11"/>
    <x v="2"/>
    <n v="77.599999999999994"/>
    <s v="Bharuch"/>
  </r>
  <r>
    <x v="7"/>
    <d v="2026-01-05T07:58:00"/>
    <x v="14"/>
    <x v="1"/>
    <n v="9"/>
    <s v="Vadodara"/>
  </r>
  <r>
    <x v="7"/>
    <d v="2026-02-23T07:32:00"/>
    <x v="14"/>
    <x v="0"/>
    <n v="26.5"/>
    <s v="Ahmedabad"/>
  </r>
  <r>
    <x v="7"/>
    <d v="2026-01-08T01:35:00"/>
    <x v="9"/>
    <x v="2"/>
    <n v="34.299999999999997"/>
    <s v="Ahmedabad"/>
  </r>
  <r>
    <x v="7"/>
    <d v="2026-01-29T07:10:00"/>
    <x v="14"/>
    <x v="2"/>
    <n v="133.19999999999999"/>
    <s v="Surat"/>
  </r>
  <r>
    <x v="7"/>
    <d v="2026-02-23T23:52:00"/>
    <x v="23"/>
    <x v="0"/>
    <n v="46.4"/>
    <s v="Vadodara"/>
  </r>
  <r>
    <x v="7"/>
    <d v="2026-03-02T09:45:00"/>
    <x v="8"/>
    <x v="1"/>
    <n v="53"/>
    <s v="Surat"/>
  </r>
  <r>
    <x v="8"/>
    <d v="2026-02-15T21:17:00"/>
    <x v="2"/>
    <x v="0"/>
    <n v="39.9"/>
    <s v="Vadodara"/>
  </r>
  <r>
    <x v="8"/>
    <d v="2026-02-06T05:26:00"/>
    <x v="17"/>
    <x v="3"/>
    <n v="75.2"/>
    <s v="Bharuch"/>
  </r>
  <r>
    <x v="8"/>
    <d v="2026-02-06T13:54:00"/>
    <x v="22"/>
    <x v="1"/>
    <n v="34.299999999999997"/>
    <s v="Indore"/>
  </r>
  <r>
    <x v="8"/>
    <d v="2026-02-12T04:28:00"/>
    <x v="7"/>
    <x v="0"/>
    <n v="51.8"/>
    <s v="Vadodara"/>
  </r>
  <r>
    <x v="8"/>
    <d v="2026-02-04T18:33:00"/>
    <x v="21"/>
    <x v="2"/>
    <n v="33.5"/>
    <s v="Indore"/>
  </r>
  <r>
    <x v="8"/>
    <d v="2026-03-15T11:53:00"/>
    <x v="13"/>
    <x v="0"/>
    <n v="34.4"/>
    <s v="Rajkot"/>
  </r>
  <r>
    <x v="8"/>
    <d v="2026-03-22T15:23:00"/>
    <x v="6"/>
    <x v="3"/>
    <n v="40.6"/>
    <s v="Rajkot"/>
  </r>
  <r>
    <x v="8"/>
    <d v="2026-01-11T21:44:00"/>
    <x v="2"/>
    <x v="0"/>
    <n v="18.5"/>
    <s v="Surat"/>
  </r>
  <r>
    <x v="8"/>
    <d v="2026-03-06T02:16:00"/>
    <x v="4"/>
    <x v="0"/>
    <n v="41.6"/>
    <s v="Indore"/>
  </r>
  <r>
    <x v="8"/>
    <d v="2026-01-18T07:05:00"/>
    <x v="14"/>
    <x v="2"/>
    <n v="99.6"/>
    <s v="Bharuch"/>
  </r>
  <r>
    <x v="8"/>
    <d v="2026-01-10T17:13:00"/>
    <x v="18"/>
    <x v="2"/>
    <n v="89.2"/>
    <s v="Bharuch"/>
  </r>
  <r>
    <x v="9"/>
    <d v="2026-02-25T18:30:00"/>
    <x v="21"/>
    <x v="3"/>
    <n v="81"/>
    <s v="Vadodara"/>
  </r>
  <r>
    <x v="9"/>
    <d v="2026-02-13T16:51:00"/>
    <x v="11"/>
    <x v="0"/>
    <n v="16.399999999999999"/>
    <s v="Bharuch"/>
  </r>
  <r>
    <x v="9"/>
    <d v="2026-02-19T11:08:00"/>
    <x v="13"/>
    <x v="3"/>
    <n v="87.2"/>
    <s v="Indore"/>
  </r>
  <r>
    <x v="9"/>
    <d v="2026-03-16T00:20:00"/>
    <x v="15"/>
    <x v="0"/>
    <n v="17.5"/>
    <s v="Vadodara"/>
  </r>
  <r>
    <x v="9"/>
    <d v="2026-01-31T04:35:00"/>
    <x v="7"/>
    <x v="2"/>
    <n v="122"/>
    <s v="Bharuch"/>
  </r>
  <r>
    <x v="9"/>
    <d v="2026-01-09T00:07:00"/>
    <x v="15"/>
    <x v="0"/>
    <n v="19.600000000000001"/>
    <s v="Vadodara"/>
  </r>
  <r>
    <x v="9"/>
    <d v="2026-03-10T18:37:00"/>
    <x v="21"/>
    <x v="3"/>
    <n v="45.8"/>
    <s v="Vadodara"/>
  </r>
  <r>
    <x v="9"/>
    <d v="2026-03-23T06:20:00"/>
    <x v="19"/>
    <x v="0"/>
    <n v="49.3"/>
    <s v="Indore"/>
  </r>
  <r>
    <x v="9"/>
    <d v="2026-01-18T17:52:00"/>
    <x v="18"/>
    <x v="0"/>
    <n v="22.6"/>
    <s v="Ahmedabad"/>
  </r>
  <r>
    <x v="9"/>
    <d v="2026-01-26T18:21:00"/>
    <x v="21"/>
    <x v="3"/>
    <n v="139.9"/>
    <s v="Bharuch"/>
  </r>
  <r>
    <x v="9"/>
    <d v="2026-02-03T02:59:00"/>
    <x v="4"/>
    <x v="0"/>
    <n v="6"/>
    <s v="Vadodara"/>
  </r>
  <r>
    <x v="9"/>
    <d v="2026-02-13T04:20:00"/>
    <x v="7"/>
    <x v="0"/>
    <n v="21.3"/>
    <s v="Ahmedabad"/>
  </r>
  <r>
    <x v="9"/>
    <d v="2026-01-17T10:11:00"/>
    <x v="20"/>
    <x v="3"/>
    <n v="30.5"/>
    <s v="Surat"/>
  </r>
  <r>
    <x v="9"/>
    <d v="2026-03-06T19:00:00"/>
    <x v="12"/>
    <x v="1"/>
    <n v="29.1"/>
    <s v="Ahmedabad"/>
  </r>
  <r>
    <x v="9"/>
    <d v="2026-02-09T09:49:00"/>
    <x v="8"/>
    <x v="2"/>
    <n v="114.4"/>
    <s v="Ahmedabad"/>
  </r>
  <r>
    <x v="9"/>
    <d v="2026-03-26T23:43:00"/>
    <x v="23"/>
    <x v="1"/>
    <n v="37.200000000000003"/>
    <s v="Vadodara"/>
  </r>
  <r>
    <x v="9"/>
    <d v="2026-03-13T08:27:00"/>
    <x v="16"/>
    <x v="2"/>
    <n v="21.8"/>
    <s v="Indore"/>
  </r>
  <r>
    <x v="9"/>
    <d v="2026-03-18T01:25:00"/>
    <x v="9"/>
    <x v="0"/>
    <n v="47.9"/>
    <s v="Rajkot"/>
  </r>
  <r>
    <x v="10"/>
    <d v="2026-02-23T11:01:00"/>
    <x v="13"/>
    <x v="1"/>
    <n v="53.6"/>
    <s v="Rajkot"/>
  </r>
  <r>
    <x v="10"/>
    <d v="2026-01-08T12:03:00"/>
    <x v="10"/>
    <x v="0"/>
    <n v="21.4"/>
    <s v="Rajkot"/>
  </r>
  <r>
    <x v="10"/>
    <d v="2026-01-07T05:07:00"/>
    <x v="17"/>
    <x v="2"/>
    <n v="75.7"/>
    <s v="Rajkot"/>
  </r>
  <r>
    <x v="10"/>
    <d v="2026-02-17T07:38:00"/>
    <x v="14"/>
    <x v="2"/>
    <n v="80.2"/>
    <s v="Bharuch"/>
  </r>
  <r>
    <x v="10"/>
    <d v="2026-01-28T16:01:00"/>
    <x v="11"/>
    <x v="3"/>
    <n v="122.2"/>
    <s v="Rajkot"/>
  </r>
  <r>
    <x v="10"/>
    <d v="2026-02-06T20:55:00"/>
    <x v="3"/>
    <x v="3"/>
    <n v="77.099999999999994"/>
    <s v="Ahmedabad"/>
  </r>
  <r>
    <x v="10"/>
    <d v="2026-01-18T02:14:00"/>
    <x v="4"/>
    <x v="0"/>
    <n v="60"/>
    <s v="Surat"/>
  </r>
  <r>
    <x v="10"/>
    <d v="2026-01-04T06:41:00"/>
    <x v="19"/>
    <x v="1"/>
    <n v="14.4"/>
    <s v="Bharuch"/>
  </r>
  <r>
    <x v="10"/>
    <d v="2026-02-13T06:43:00"/>
    <x v="19"/>
    <x v="0"/>
    <n v="26.9"/>
    <s v="Vadodara"/>
  </r>
  <r>
    <x v="10"/>
    <d v="2026-02-28T22:07:00"/>
    <x v="1"/>
    <x v="2"/>
    <n v="84.7"/>
    <s v="Bharuch"/>
  </r>
  <r>
    <x v="10"/>
    <d v="2026-01-10T02:30:00"/>
    <x v="4"/>
    <x v="1"/>
    <n v="29.5"/>
    <s v="Ahmedabad"/>
  </r>
  <r>
    <x v="10"/>
    <d v="2026-03-20T15:50:00"/>
    <x v="6"/>
    <x v="0"/>
    <n v="44.6"/>
    <s v="Ahmedabad"/>
  </r>
  <r>
    <x v="10"/>
    <d v="2026-03-12T11:55:00"/>
    <x v="13"/>
    <x v="2"/>
    <n v="35.1"/>
    <s v="Indore"/>
  </r>
  <r>
    <x v="10"/>
    <d v="2026-01-05T17:46:00"/>
    <x v="18"/>
    <x v="1"/>
    <n v="31.3"/>
    <s v="Rajkot"/>
  </r>
  <r>
    <x v="11"/>
    <d v="2026-03-07T01:54:00"/>
    <x v="9"/>
    <x v="1"/>
    <n v="44.9"/>
    <s v="Vadodara"/>
  </r>
  <r>
    <x v="11"/>
    <d v="2026-01-09T09:07:00"/>
    <x v="8"/>
    <x v="3"/>
    <n v="85.4"/>
    <s v="Bharuch"/>
  </r>
  <r>
    <x v="11"/>
    <d v="2026-03-06T00:41:00"/>
    <x v="15"/>
    <x v="3"/>
    <n v="30.4"/>
    <s v="Indore"/>
  </r>
  <r>
    <x v="11"/>
    <d v="2026-02-24T15:18:00"/>
    <x v="6"/>
    <x v="1"/>
    <n v="26.3"/>
    <s v="Surat"/>
  </r>
  <r>
    <x v="11"/>
    <d v="2026-01-08T08:23:00"/>
    <x v="16"/>
    <x v="1"/>
    <n v="18.899999999999999"/>
    <s v="Vadodara"/>
  </r>
  <r>
    <x v="11"/>
    <d v="2026-01-07T18:06:00"/>
    <x v="21"/>
    <x v="0"/>
    <n v="49.1"/>
    <s v="Rajkot"/>
  </r>
  <r>
    <x v="11"/>
    <d v="2026-02-16T10:49:00"/>
    <x v="20"/>
    <x v="1"/>
    <n v="58.4"/>
    <s v="Bharuch"/>
  </r>
  <r>
    <x v="11"/>
    <d v="2026-01-30T10:44:00"/>
    <x v="20"/>
    <x v="0"/>
    <n v="45.5"/>
    <s v="Vadodara"/>
  </r>
  <r>
    <x v="11"/>
    <d v="2026-01-28T02:11:00"/>
    <x v="4"/>
    <x v="0"/>
    <n v="28.9"/>
    <s v="Vadodara"/>
  </r>
  <r>
    <x v="11"/>
    <d v="2026-02-17T14:28:00"/>
    <x v="0"/>
    <x v="0"/>
    <n v="13.3"/>
    <s v="Ahmedabad"/>
  </r>
  <r>
    <x v="11"/>
    <d v="2026-02-26T22:39:00"/>
    <x v="1"/>
    <x v="3"/>
    <n v="146"/>
    <s v="Vadodara"/>
  </r>
  <r>
    <x v="11"/>
    <d v="2026-02-16T03:15:00"/>
    <x v="5"/>
    <x v="3"/>
    <n v="21.8"/>
    <s v="Vadodara"/>
  </r>
  <r>
    <x v="11"/>
    <d v="2026-03-27T23:01:00"/>
    <x v="23"/>
    <x v="1"/>
    <n v="21.3"/>
    <s v="Indore"/>
  </r>
  <r>
    <x v="11"/>
    <d v="2026-03-17T08:36:00"/>
    <x v="16"/>
    <x v="1"/>
    <n v="22"/>
    <s v="Ahmedabad"/>
  </r>
  <r>
    <x v="11"/>
    <d v="2026-01-09T20:50:00"/>
    <x v="3"/>
    <x v="1"/>
    <n v="24.6"/>
    <s v="Rajkot"/>
  </r>
  <r>
    <x v="11"/>
    <d v="2026-01-24T10:03:00"/>
    <x v="20"/>
    <x v="1"/>
    <n v="28.6"/>
    <s v="Ahmedabad"/>
  </r>
  <r>
    <x v="11"/>
    <d v="2026-02-12T16:59:00"/>
    <x v="11"/>
    <x v="1"/>
    <n v="38.5"/>
    <s v="Rajkot"/>
  </r>
  <r>
    <x v="12"/>
    <d v="2026-03-10T17:21:00"/>
    <x v="18"/>
    <x v="3"/>
    <n v="130.80000000000001"/>
    <s v="Ahmedabad"/>
  </r>
  <r>
    <x v="12"/>
    <d v="2026-03-01T01:00:00"/>
    <x v="9"/>
    <x v="1"/>
    <n v="30.1"/>
    <s v="Vadodara"/>
  </r>
  <r>
    <x v="12"/>
    <d v="2026-01-04T10:16:00"/>
    <x v="20"/>
    <x v="0"/>
    <n v="6.8"/>
    <s v="Bharuch"/>
  </r>
  <r>
    <x v="12"/>
    <d v="2026-01-10T15:55:00"/>
    <x v="6"/>
    <x v="2"/>
    <n v="57.3"/>
    <s v="Rajkot"/>
  </r>
  <r>
    <x v="12"/>
    <d v="2026-02-15T21:11:00"/>
    <x v="2"/>
    <x v="1"/>
    <n v="26.3"/>
    <s v="Rajkot"/>
  </r>
  <r>
    <x v="12"/>
    <d v="2026-02-10T01:40:00"/>
    <x v="9"/>
    <x v="0"/>
    <n v="52.6"/>
    <s v="Indore"/>
  </r>
  <r>
    <x v="12"/>
    <d v="2026-01-10T11:32:00"/>
    <x v="13"/>
    <x v="0"/>
    <n v="10.6"/>
    <s v="Surat"/>
  </r>
  <r>
    <x v="12"/>
    <d v="2026-02-18T23:21:00"/>
    <x v="23"/>
    <x v="3"/>
    <n v="65.400000000000006"/>
    <s v="Surat"/>
  </r>
  <r>
    <x v="12"/>
    <d v="2026-01-30T17:40:00"/>
    <x v="18"/>
    <x v="1"/>
    <n v="48.6"/>
    <s v="Rajkot"/>
  </r>
  <r>
    <x v="12"/>
    <d v="2026-02-18T23:12:00"/>
    <x v="23"/>
    <x v="2"/>
    <n v="28.3"/>
    <s v="Indore"/>
  </r>
  <r>
    <x v="12"/>
    <d v="2026-02-09T10:34:00"/>
    <x v="20"/>
    <x v="3"/>
    <n v="107"/>
    <s v="Bharuch"/>
  </r>
  <r>
    <x v="12"/>
    <d v="2026-03-18T20:21:00"/>
    <x v="3"/>
    <x v="2"/>
    <n v="89.7"/>
    <s v="Ahmedabad"/>
  </r>
  <r>
    <x v="12"/>
    <d v="2026-01-16T18:35:00"/>
    <x v="21"/>
    <x v="0"/>
    <n v="24"/>
    <s v="Indore"/>
  </r>
  <r>
    <x v="12"/>
    <d v="2026-02-22T20:36:00"/>
    <x v="3"/>
    <x v="3"/>
    <n v="93.9"/>
    <s v="Rajkot"/>
  </r>
  <r>
    <x v="12"/>
    <d v="2026-02-27T16:18:00"/>
    <x v="11"/>
    <x v="3"/>
    <n v="119.5"/>
    <s v="Surat"/>
  </r>
  <r>
    <x v="13"/>
    <d v="2026-01-02T17:24:00"/>
    <x v="18"/>
    <x v="2"/>
    <n v="91.1"/>
    <s v="Indore"/>
  </r>
  <r>
    <x v="13"/>
    <d v="2026-02-18T16:16:00"/>
    <x v="11"/>
    <x v="1"/>
    <n v="52.1"/>
    <s v="Rajkot"/>
  </r>
  <r>
    <x v="13"/>
    <d v="2026-02-27T03:03:00"/>
    <x v="5"/>
    <x v="0"/>
    <n v="46.9"/>
    <s v="Rajkot"/>
  </r>
  <r>
    <x v="13"/>
    <d v="2026-03-31T09:59:00"/>
    <x v="8"/>
    <x v="1"/>
    <n v="21.7"/>
    <s v="Surat"/>
  </r>
  <r>
    <x v="13"/>
    <d v="2026-01-05T19:18:00"/>
    <x v="12"/>
    <x v="3"/>
    <n v="60.8"/>
    <s v="Vadodara"/>
  </r>
  <r>
    <x v="13"/>
    <d v="2026-03-10T11:04:00"/>
    <x v="13"/>
    <x v="1"/>
    <n v="9.9"/>
    <s v="Vadodara"/>
  </r>
  <r>
    <x v="13"/>
    <d v="2026-03-26T21:06:00"/>
    <x v="2"/>
    <x v="2"/>
    <n v="25.7"/>
    <s v="Ahmedabad"/>
  </r>
  <r>
    <x v="13"/>
    <d v="2026-03-25T08:21:00"/>
    <x v="16"/>
    <x v="0"/>
    <n v="14.7"/>
    <s v="Vadodara"/>
  </r>
  <r>
    <x v="13"/>
    <d v="2026-03-23T00:22:00"/>
    <x v="15"/>
    <x v="1"/>
    <n v="19.8"/>
    <s v="Surat"/>
  </r>
  <r>
    <x v="13"/>
    <d v="2026-02-21T22:31:00"/>
    <x v="1"/>
    <x v="2"/>
    <n v="123.8"/>
    <s v="Ahmedabad"/>
  </r>
  <r>
    <x v="13"/>
    <d v="2026-03-24T20:58:00"/>
    <x v="3"/>
    <x v="0"/>
    <n v="56.1"/>
    <s v="Rajkot"/>
  </r>
  <r>
    <x v="13"/>
    <d v="2026-01-20T05:29:00"/>
    <x v="17"/>
    <x v="3"/>
    <n v="100.2"/>
    <s v="Bharuch"/>
  </r>
  <r>
    <x v="13"/>
    <d v="2026-02-25T23:38:00"/>
    <x v="23"/>
    <x v="1"/>
    <n v="55.3"/>
    <s v="Ahmedabad"/>
  </r>
  <r>
    <x v="13"/>
    <d v="2026-01-30T03:33:00"/>
    <x v="5"/>
    <x v="0"/>
    <n v="7.2"/>
    <s v="Bharuch"/>
  </r>
  <r>
    <x v="13"/>
    <d v="2026-03-27T18:04:00"/>
    <x v="21"/>
    <x v="1"/>
    <n v="47.1"/>
    <s v="Ahmedabad"/>
  </r>
  <r>
    <x v="13"/>
    <d v="2026-01-05T22:52:00"/>
    <x v="1"/>
    <x v="0"/>
    <n v="30"/>
    <s v="Ahmedabad"/>
  </r>
  <r>
    <x v="13"/>
    <d v="2026-01-23T19:41:00"/>
    <x v="12"/>
    <x v="2"/>
    <n v="48.8"/>
    <s v="Indore"/>
  </r>
  <r>
    <x v="13"/>
    <d v="2026-03-21T15:03:00"/>
    <x v="6"/>
    <x v="3"/>
    <n v="57"/>
    <s v="Indore"/>
  </r>
  <r>
    <x v="13"/>
    <d v="2026-01-21T10:21:00"/>
    <x v="20"/>
    <x v="0"/>
    <n v="12.3"/>
    <s v="Ahmedabad"/>
  </r>
  <r>
    <x v="14"/>
    <d v="2026-02-16T21:54:00"/>
    <x v="2"/>
    <x v="0"/>
    <n v="22.4"/>
    <s v="Ahmedabad"/>
  </r>
  <r>
    <x v="14"/>
    <d v="2026-02-13T06:52:00"/>
    <x v="19"/>
    <x v="1"/>
    <n v="26"/>
    <s v="Vadodara"/>
  </r>
  <r>
    <x v="14"/>
    <d v="2026-03-08T11:18:00"/>
    <x v="13"/>
    <x v="3"/>
    <n v="47.7"/>
    <s v="Vadodara"/>
  </r>
  <r>
    <x v="14"/>
    <d v="2026-02-25T06:42:00"/>
    <x v="19"/>
    <x v="0"/>
    <n v="8.3000000000000007"/>
    <s v="Ahmedabad"/>
  </r>
  <r>
    <x v="14"/>
    <d v="2026-01-27T07:15:00"/>
    <x v="14"/>
    <x v="0"/>
    <n v="23.8"/>
    <s v="Ahmedabad"/>
  </r>
  <r>
    <x v="14"/>
    <d v="2026-01-06T13:03:00"/>
    <x v="22"/>
    <x v="2"/>
    <n v="141.69999999999999"/>
    <s v="Bharuch"/>
  </r>
  <r>
    <x v="14"/>
    <d v="2026-02-04T13:46:00"/>
    <x v="22"/>
    <x v="3"/>
    <n v="30.3"/>
    <s v="Rajkot"/>
  </r>
  <r>
    <x v="14"/>
    <d v="2026-01-13T19:54:00"/>
    <x v="12"/>
    <x v="3"/>
    <n v="69.8"/>
    <s v="Bharuch"/>
  </r>
  <r>
    <x v="14"/>
    <d v="2026-02-13T14:42:00"/>
    <x v="0"/>
    <x v="2"/>
    <n v="50.9"/>
    <s v="Surat"/>
  </r>
  <r>
    <x v="14"/>
    <d v="2026-01-09T21:47:00"/>
    <x v="2"/>
    <x v="3"/>
    <n v="130.19999999999999"/>
    <s v="Indore"/>
  </r>
  <r>
    <x v="14"/>
    <d v="2026-03-21T06:35:00"/>
    <x v="19"/>
    <x v="0"/>
    <n v="31.7"/>
    <s v="Vadodara"/>
  </r>
  <r>
    <x v="14"/>
    <d v="2026-02-13T03:08:00"/>
    <x v="5"/>
    <x v="0"/>
    <n v="41.8"/>
    <s v="Bharuch"/>
  </r>
  <r>
    <x v="14"/>
    <d v="2026-01-10T06:13:00"/>
    <x v="19"/>
    <x v="1"/>
    <n v="33.200000000000003"/>
    <s v="Indore"/>
  </r>
  <r>
    <x v="14"/>
    <d v="2026-01-29T00:54:00"/>
    <x v="15"/>
    <x v="2"/>
    <n v="67.400000000000006"/>
    <s v="Ahmedabad"/>
  </r>
  <r>
    <x v="14"/>
    <d v="2026-03-03T21:52:00"/>
    <x v="2"/>
    <x v="3"/>
    <n v="43.6"/>
    <s v="Rajkot"/>
  </r>
  <r>
    <x v="14"/>
    <d v="2026-03-09T13:29:00"/>
    <x v="22"/>
    <x v="2"/>
    <n v="26.8"/>
    <s v="Vadodara"/>
  </r>
  <r>
    <x v="14"/>
    <d v="2026-03-09T08:52:00"/>
    <x v="16"/>
    <x v="3"/>
    <n v="53.1"/>
    <s v="Surat"/>
  </r>
  <r>
    <x v="14"/>
    <d v="2026-01-06T04:41:00"/>
    <x v="7"/>
    <x v="2"/>
    <n v="28.8"/>
    <s v="Ahmedabad"/>
  </r>
  <r>
    <x v="15"/>
    <d v="2026-03-26T08:10:00"/>
    <x v="16"/>
    <x v="3"/>
    <n v="63.8"/>
    <s v="Rajkot"/>
  </r>
  <r>
    <x v="15"/>
    <d v="2026-01-04T11:18:00"/>
    <x v="13"/>
    <x v="0"/>
    <n v="25.5"/>
    <s v="Indore"/>
  </r>
  <r>
    <x v="15"/>
    <d v="2026-02-16T07:34:00"/>
    <x v="14"/>
    <x v="2"/>
    <n v="100"/>
    <s v="Ahmedabad"/>
  </r>
  <r>
    <x v="15"/>
    <d v="2026-01-10T05:29:00"/>
    <x v="17"/>
    <x v="3"/>
    <n v="85.6"/>
    <s v="Rajkot"/>
  </r>
  <r>
    <x v="15"/>
    <d v="2026-03-03T11:23:00"/>
    <x v="13"/>
    <x v="2"/>
    <n v="50"/>
    <s v="Surat"/>
  </r>
  <r>
    <x v="15"/>
    <d v="2026-01-13T00:54:00"/>
    <x v="15"/>
    <x v="3"/>
    <n v="47.6"/>
    <s v="Indore"/>
  </r>
  <r>
    <x v="15"/>
    <d v="2026-02-19T04:47:00"/>
    <x v="7"/>
    <x v="1"/>
    <n v="56.8"/>
    <s v="Rajkot"/>
  </r>
  <r>
    <x v="15"/>
    <d v="2026-03-20T11:55:00"/>
    <x v="13"/>
    <x v="0"/>
    <n v="43.4"/>
    <s v="Rajkot"/>
  </r>
  <r>
    <x v="15"/>
    <d v="2026-01-08T18:39:00"/>
    <x v="21"/>
    <x v="2"/>
    <n v="136.6"/>
    <s v="Bharuch"/>
  </r>
  <r>
    <x v="15"/>
    <d v="2026-02-09T02:08:00"/>
    <x v="4"/>
    <x v="0"/>
    <n v="31.7"/>
    <s v="Ahmedabad"/>
  </r>
  <r>
    <x v="15"/>
    <d v="2026-02-09T06:34:00"/>
    <x v="19"/>
    <x v="2"/>
    <n v="58"/>
    <s v="Surat"/>
  </r>
  <r>
    <x v="16"/>
    <d v="2026-03-14T10:00:00"/>
    <x v="20"/>
    <x v="0"/>
    <n v="54.1"/>
    <s v="Indore"/>
  </r>
  <r>
    <x v="16"/>
    <d v="2026-02-25T21:34:00"/>
    <x v="2"/>
    <x v="0"/>
    <n v="33.6"/>
    <s v="Rajkot"/>
  </r>
  <r>
    <x v="16"/>
    <d v="2026-01-17T19:40:00"/>
    <x v="12"/>
    <x v="2"/>
    <n v="136.80000000000001"/>
    <s v="Bharuch"/>
  </r>
  <r>
    <x v="16"/>
    <d v="2026-02-15T04:31:00"/>
    <x v="7"/>
    <x v="1"/>
    <n v="15.7"/>
    <s v="Ahmedabad"/>
  </r>
  <r>
    <x v="16"/>
    <d v="2026-01-13T22:03:00"/>
    <x v="1"/>
    <x v="0"/>
    <n v="48.8"/>
    <s v="Rajkot"/>
  </r>
  <r>
    <x v="16"/>
    <d v="2026-01-30T20:50:00"/>
    <x v="3"/>
    <x v="0"/>
    <n v="23.4"/>
    <s v="Bharuch"/>
  </r>
  <r>
    <x v="16"/>
    <d v="2026-03-27T00:30:00"/>
    <x v="15"/>
    <x v="1"/>
    <n v="20.2"/>
    <s v="Indore"/>
  </r>
  <r>
    <x v="16"/>
    <d v="2026-03-23T14:14:00"/>
    <x v="0"/>
    <x v="2"/>
    <n v="75.5"/>
    <s v="Rajkot"/>
  </r>
  <r>
    <x v="16"/>
    <d v="2026-02-26T21:39:00"/>
    <x v="2"/>
    <x v="3"/>
    <n v="99"/>
    <s v="Surat"/>
  </r>
  <r>
    <x v="16"/>
    <d v="2026-01-25T20:55:00"/>
    <x v="3"/>
    <x v="3"/>
    <n v="56.4"/>
    <s v="Rajkot"/>
  </r>
  <r>
    <x v="16"/>
    <d v="2026-01-09T20:08:00"/>
    <x v="3"/>
    <x v="1"/>
    <n v="40.200000000000003"/>
    <s v="Indore"/>
  </r>
  <r>
    <x v="16"/>
    <d v="2026-01-02T17:46:00"/>
    <x v="18"/>
    <x v="1"/>
    <n v="57.9"/>
    <s v="Indore"/>
  </r>
  <r>
    <x v="16"/>
    <d v="2026-03-03T17:02:00"/>
    <x v="18"/>
    <x v="3"/>
    <n v="57.3"/>
    <s v="Rajkot"/>
  </r>
  <r>
    <x v="16"/>
    <d v="2026-01-16T08:39:00"/>
    <x v="16"/>
    <x v="2"/>
    <n v="120.2"/>
    <s v="Bharuch"/>
  </r>
  <r>
    <x v="16"/>
    <d v="2026-03-03T07:36:00"/>
    <x v="14"/>
    <x v="0"/>
    <n v="23.5"/>
    <s v="Rajkot"/>
  </r>
  <r>
    <x v="16"/>
    <d v="2026-01-31T01:47:00"/>
    <x v="9"/>
    <x v="3"/>
    <n v="107.9"/>
    <s v="Ahmedabad"/>
  </r>
  <r>
    <x v="17"/>
    <d v="2026-03-06T23:52:00"/>
    <x v="23"/>
    <x v="2"/>
    <n v="103"/>
    <s v="Rajkot"/>
  </r>
  <r>
    <x v="17"/>
    <d v="2026-02-17T07:57:00"/>
    <x v="14"/>
    <x v="3"/>
    <n v="32.1"/>
    <s v="Bharuch"/>
  </r>
  <r>
    <x v="17"/>
    <d v="2026-02-05T06:33:00"/>
    <x v="19"/>
    <x v="2"/>
    <n v="102.6"/>
    <s v="Rajkot"/>
  </r>
  <r>
    <x v="17"/>
    <d v="2026-02-03T13:35:00"/>
    <x v="22"/>
    <x v="3"/>
    <n v="68.2"/>
    <s v="Ahmedabad"/>
  </r>
  <r>
    <x v="17"/>
    <d v="2026-01-26T12:40:00"/>
    <x v="10"/>
    <x v="2"/>
    <n v="44.9"/>
    <s v="Indore"/>
  </r>
  <r>
    <x v="17"/>
    <d v="2026-01-25T09:19:00"/>
    <x v="8"/>
    <x v="3"/>
    <n v="149.1"/>
    <s v="Indore"/>
  </r>
  <r>
    <x v="17"/>
    <d v="2026-01-29T02:28:00"/>
    <x v="4"/>
    <x v="1"/>
    <n v="27"/>
    <s v="Indore"/>
  </r>
  <r>
    <x v="17"/>
    <d v="2026-02-09T22:01:00"/>
    <x v="1"/>
    <x v="1"/>
    <n v="42.1"/>
    <s v="Ahmedabad"/>
  </r>
  <r>
    <x v="17"/>
    <d v="2026-01-12T00:56:00"/>
    <x v="15"/>
    <x v="1"/>
    <n v="33.6"/>
    <s v="Bharuch"/>
  </r>
  <r>
    <x v="17"/>
    <d v="2026-02-01T16:41:00"/>
    <x v="11"/>
    <x v="1"/>
    <n v="47.5"/>
    <s v="Rajkot"/>
  </r>
  <r>
    <x v="17"/>
    <d v="2026-03-02T23:49:00"/>
    <x v="23"/>
    <x v="3"/>
    <n v="106.5"/>
    <s v="Vadodara"/>
  </r>
  <r>
    <x v="17"/>
    <d v="2026-02-09T21:04:00"/>
    <x v="2"/>
    <x v="3"/>
    <n v="46.8"/>
    <s v="Vadodara"/>
  </r>
  <r>
    <x v="17"/>
    <d v="2026-03-09T01:38:00"/>
    <x v="9"/>
    <x v="1"/>
    <n v="41"/>
    <s v="Rajkot"/>
  </r>
  <r>
    <x v="17"/>
    <d v="2026-02-09T03:48:00"/>
    <x v="5"/>
    <x v="0"/>
    <n v="40"/>
    <s v="Ahmedabad"/>
  </r>
  <r>
    <x v="17"/>
    <d v="2026-02-01T23:51:00"/>
    <x v="23"/>
    <x v="0"/>
    <n v="25.5"/>
    <s v="Ahmedabad"/>
  </r>
  <r>
    <x v="17"/>
    <d v="2026-03-02T01:24:00"/>
    <x v="9"/>
    <x v="0"/>
    <n v="19.3"/>
    <s v="Indore"/>
  </r>
  <r>
    <x v="17"/>
    <d v="2026-03-03T19:02:00"/>
    <x v="12"/>
    <x v="2"/>
    <n v="51.1"/>
    <s v="Rajkot"/>
  </r>
  <r>
    <x v="17"/>
    <d v="2026-02-09T20:49:00"/>
    <x v="3"/>
    <x v="0"/>
    <n v="58.8"/>
    <s v="Indore"/>
  </r>
  <r>
    <x v="17"/>
    <d v="2026-03-18T19:19:00"/>
    <x v="12"/>
    <x v="3"/>
    <n v="134.9"/>
    <s v="Indore"/>
  </r>
  <r>
    <x v="17"/>
    <d v="2026-03-10T16:00:00"/>
    <x v="11"/>
    <x v="2"/>
    <n v="134.30000000000001"/>
    <s v="Ahmedabad"/>
  </r>
  <r>
    <x v="17"/>
    <d v="2026-02-23T08:39:00"/>
    <x v="16"/>
    <x v="1"/>
    <n v="35.700000000000003"/>
    <s v="Ahmedabad"/>
  </r>
  <r>
    <x v="17"/>
    <d v="2026-02-13T18:59:00"/>
    <x v="21"/>
    <x v="0"/>
    <n v="44.8"/>
    <s v="Rajkot"/>
  </r>
  <r>
    <x v="17"/>
    <d v="2026-01-25T05:21:00"/>
    <x v="17"/>
    <x v="3"/>
    <n v="114"/>
    <s v="Surat"/>
  </r>
  <r>
    <x v="18"/>
    <d v="2026-02-11T07:41:00"/>
    <x v="14"/>
    <x v="0"/>
    <n v="19.600000000000001"/>
    <s v="Rajkot"/>
  </r>
  <r>
    <x v="18"/>
    <d v="2026-03-15T11:15:00"/>
    <x v="13"/>
    <x v="0"/>
    <n v="32.6"/>
    <s v="Surat"/>
  </r>
  <r>
    <x v="18"/>
    <d v="2026-02-19T17:04:00"/>
    <x v="18"/>
    <x v="3"/>
    <n v="80.599999999999994"/>
    <s v="Indore"/>
  </r>
  <r>
    <x v="18"/>
    <d v="2026-02-17T23:25:00"/>
    <x v="23"/>
    <x v="2"/>
    <n v="100"/>
    <s v="Surat"/>
  </r>
  <r>
    <x v="18"/>
    <d v="2026-03-31T06:10:00"/>
    <x v="19"/>
    <x v="1"/>
    <n v="17.8"/>
    <s v="Indore"/>
  </r>
  <r>
    <x v="18"/>
    <d v="2026-03-19T07:58:00"/>
    <x v="14"/>
    <x v="1"/>
    <n v="18.600000000000001"/>
    <s v="Rajkot"/>
  </r>
  <r>
    <x v="18"/>
    <d v="2026-03-16T21:02:00"/>
    <x v="2"/>
    <x v="1"/>
    <n v="46.7"/>
    <s v="Indore"/>
  </r>
  <r>
    <x v="18"/>
    <d v="2026-02-06T05:12:00"/>
    <x v="17"/>
    <x v="1"/>
    <n v="48.1"/>
    <s v="Rajkot"/>
  </r>
  <r>
    <x v="18"/>
    <d v="2026-03-12T23:01:00"/>
    <x v="23"/>
    <x v="2"/>
    <n v="77.099999999999994"/>
    <s v="Ahmedabad"/>
  </r>
  <r>
    <x v="18"/>
    <d v="2026-01-07T16:25:00"/>
    <x v="11"/>
    <x v="3"/>
    <n v="75.3"/>
    <s v="Indore"/>
  </r>
  <r>
    <x v="18"/>
    <d v="2026-02-28T13:15:00"/>
    <x v="22"/>
    <x v="2"/>
    <n v="42"/>
    <s v="Surat"/>
  </r>
  <r>
    <x v="18"/>
    <d v="2026-01-23T10:16:00"/>
    <x v="20"/>
    <x v="1"/>
    <n v="33.200000000000003"/>
    <s v="Surat"/>
  </r>
  <r>
    <x v="18"/>
    <d v="2026-01-10T17:21:00"/>
    <x v="18"/>
    <x v="2"/>
    <n v="44"/>
    <s v="Rajkot"/>
  </r>
  <r>
    <x v="18"/>
    <d v="2026-02-13T13:39:00"/>
    <x v="22"/>
    <x v="0"/>
    <n v="19.7"/>
    <s v="Vadodara"/>
  </r>
  <r>
    <x v="19"/>
    <d v="2026-03-05T10:44:00"/>
    <x v="20"/>
    <x v="2"/>
    <n v="109.9"/>
    <s v="Surat"/>
  </r>
  <r>
    <x v="19"/>
    <d v="2026-02-03T16:50:00"/>
    <x v="11"/>
    <x v="2"/>
    <n v="106.6"/>
    <s v="Vadodara"/>
  </r>
  <r>
    <x v="19"/>
    <d v="2026-02-19T10:42:00"/>
    <x v="20"/>
    <x v="1"/>
    <n v="40.4"/>
    <s v="Rajkot"/>
  </r>
  <r>
    <x v="19"/>
    <d v="2026-01-13T14:58:00"/>
    <x v="0"/>
    <x v="1"/>
    <n v="39.5"/>
    <s v="Bharuch"/>
  </r>
  <r>
    <x v="19"/>
    <d v="2026-01-24T03:01:00"/>
    <x v="5"/>
    <x v="0"/>
    <n v="26.6"/>
    <s v="Surat"/>
  </r>
  <r>
    <x v="19"/>
    <d v="2026-03-09T04:14:00"/>
    <x v="7"/>
    <x v="2"/>
    <n v="40.9"/>
    <s v="Rajkot"/>
  </r>
  <r>
    <x v="19"/>
    <d v="2026-03-27T05:20:00"/>
    <x v="17"/>
    <x v="2"/>
    <n v="33.1"/>
    <s v="Vadodara"/>
  </r>
  <r>
    <x v="19"/>
    <d v="2026-01-27T06:00:00"/>
    <x v="19"/>
    <x v="2"/>
    <n v="73.3"/>
    <s v="Surat"/>
  </r>
  <r>
    <x v="19"/>
    <d v="2026-02-17T04:12:00"/>
    <x v="7"/>
    <x v="1"/>
    <n v="6.1"/>
    <s v="Vadodara"/>
  </r>
  <r>
    <x v="19"/>
    <d v="2026-02-26T01:45:00"/>
    <x v="9"/>
    <x v="2"/>
    <n v="68.099999999999994"/>
    <s v="Bharuch"/>
  </r>
  <r>
    <x v="19"/>
    <d v="2026-02-09T03:15:00"/>
    <x v="5"/>
    <x v="1"/>
    <n v="5.2"/>
    <s v="Surat"/>
  </r>
  <r>
    <x v="19"/>
    <d v="2026-02-28T16:02:00"/>
    <x v="11"/>
    <x v="1"/>
    <n v="20.6"/>
    <s v="Surat"/>
  </r>
  <r>
    <x v="19"/>
    <d v="2026-03-01T01:52:00"/>
    <x v="9"/>
    <x v="1"/>
    <n v="12.1"/>
    <s v="Indore"/>
  </r>
  <r>
    <x v="19"/>
    <d v="2026-01-09T10:27:00"/>
    <x v="20"/>
    <x v="2"/>
    <n v="57.7"/>
    <s v="Vadodar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x v="0"/>
    <d v="2026-02-14T14:55:00"/>
    <n v="14"/>
    <x v="0"/>
    <n v="21.7"/>
    <s v="Vadodara"/>
  </r>
  <r>
    <x v="0"/>
    <d v="2026-02-02T22:53:00"/>
    <n v="22"/>
    <x v="0"/>
    <n v="23.7"/>
    <s v="Ahmedabad"/>
  </r>
  <r>
    <x v="0"/>
    <d v="2026-03-05T21:10:00"/>
    <n v="21"/>
    <x v="1"/>
    <n v="7.6"/>
    <s v="Bharuch"/>
  </r>
  <r>
    <x v="0"/>
    <d v="2026-02-22T20:20:00"/>
    <n v="20"/>
    <x v="2"/>
    <n v="25.4"/>
    <s v="Ahmedabad"/>
  </r>
  <r>
    <x v="0"/>
    <d v="2026-01-21T02:21:00"/>
    <n v="2"/>
    <x v="2"/>
    <n v="32.799999999999997"/>
    <s v="Ahmedabad"/>
  </r>
  <r>
    <x v="0"/>
    <d v="2026-03-22T21:10:00"/>
    <n v="21"/>
    <x v="1"/>
    <n v="25.1"/>
    <s v="Vadodara"/>
  </r>
  <r>
    <x v="0"/>
    <d v="2026-01-12T03:39:00"/>
    <n v="3"/>
    <x v="2"/>
    <n v="141.19999999999999"/>
    <s v="Rajkot"/>
  </r>
  <r>
    <x v="0"/>
    <d v="2026-01-30T15:14:00"/>
    <n v="15"/>
    <x v="1"/>
    <n v="13.5"/>
    <s v="Bharuch"/>
  </r>
  <r>
    <x v="0"/>
    <d v="2026-03-12T04:07:00"/>
    <n v="4"/>
    <x v="1"/>
    <n v="14.8"/>
    <s v="Bharuch"/>
  </r>
  <r>
    <x v="0"/>
    <d v="2026-03-25T02:34:00"/>
    <n v="2"/>
    <x v="2"/>
    <n v="66.5"/>
    <s v="Vadodara"/>
  </r>
  <r>
    <x v="0"/>
    <d v="2026-02-24T09:03:00"/>
    <n v="9"/>
    <x v="1"/>
    <n v="41.8"/>
    <s v="Surat"/>
  </r>
  <r>
    <x v="0"/>
    <d v="2026-02-15T02:15:00"/>
    <n v="2"/>
    <x v="1"/>
    <n v="48.5"/>
    <s v="Remote Route"/>
  </r>
  <r>
    <x v="0"/>
    <d v="2026-02-20T01:40:00"/>
    <n v="1"/>
    <x v="1"/>
    <n v="52.1"/>
    <s v="Remote Route"/>
  </r>
  <r>
    <x v="1"/>
    <d v="2026-02-04T02:49:00"/>
    <n v="2"/>
    <x v="0"/>
    <n v="19.7"/>
    <s v="Vadodara"/>
  </r>
  <r>
    <x v="1"/>
    <d v="2026-03-08T12:34:00"/>
    <n v="12"/>
    <x v="3"/>
    <n v="39"/>
    <s v="Indore"/>
  </r>
  <r>
    <x v="1"/>
    <d v="2026-02-24T02:55:00"/>
    <n v="2"/>
    <x v="1"/>
    <n v="14.4"/>
    <s v="Vadodara"/>
  </r>
  <r>
    <x v="1"/>
    <d v="2026-03-30T16:45:00"/>
    <n v="16"/>
    <x v="1"/>
    <n v="25.3"/>
    <s v="Vadodara"/>
  </r>
  <r>
    <x v="1"/>
    <d v="2026-01-27T09:20:00"/>
    <n v="9"/>
    <x v="3"/>
    <n v="39.700000000000003"/>
    <s v="Bharuch"/>
  </r>
  <r>
    <x v="1"/>
    <d v="2026-03-24T19:25:00"/>
    <n v="19"/>
    <x v="3"/>
    <n v="105.2"/>
    <s v="Ahmedabad"/>
  </r>
  <r>
    <x v="1"/>
    <d v="2026-03-27T11:25:00"/>
    <n v="11"/>
    <x v="0"/>
    <n v="40.4"/>
    <s v="Ahmedabad"/>
  </r>
  <r>
    <x v="1"/>
    <d v="2026-02-21T02:10:00"/>
    <n v="2"/>
    <x v="2"/>
    <n v="37.200000000000003"/>
    <s v="Indore"/>
  </r>
  <r>
    <x v="1"/>
    <d v="2026-01-14T03:57:00"/>
    <n v="3"/>
    <x v="0"/>
    <n v="26.5"/>
    <s v="Bharuch"/>
  </r>
  <r>
    <x v="1"/>
    <d v="2026-02-03T07:18:00"/>
    <n v="7"/>
    <x v="0"/>
    <n v="41.9"/>
    <s v="Ahmedabad"/>
  </r>
  <r>
    <x v="1"/>
    <d v="2026-01-26T15:08:00"/>
    <n v="15"/>
    <x v="3"/>
    <n v="110.2"/>
    <s v="Surat"/>
  </r>
  <r>
    <x v="1"/>
    <d v="2026-03-24T22:00:00"/>
    <n v="22"/>
    <x v="1"/>
    <n v="47.8"/>
    <s v="Ahmedabad"/>
  </r>
  <r>
    <x v="2"/>
    <d v="2026-03-18T12:04:00"/>
    <n v="12"/>
    <x v="2"/>
    <n v="61"/>
    <s v="Rajkot"/>
  </r>
  <r>
    <x v="2"/>
    <d v="2026-02-28T12:36:00"/>
    <n v="12"/>
    <x v="3"/>
    <n v="22.1"/>
    <s v="Bharuch"/>
  </r>
  <r>
    <x v="2"/>
    <d v="2026-03-22T11:00:00"/>
    <n v="11"/>
    <x v="3"/>
    <n v="149.69999999999999"/>
    <s v="Rajkot"/>
  </r>
  <r>
    <x v="2"/>
    <d v="2026-03-28T04:23:00"/>
    <n v="4"/>
    <x v="1"/>
    <n v="45.9"/>
    <s v="Indore"/>
  </r>
  <r>
    <x v="2"/>
    <d v="2026-01-26T16:12:00"/>
    <n v="16"/>
    <x v="2"/>
    <n v="45.2"/>
    <s v="Bharuch"/>
  </r>
  <r>
    <x v="2"/>
    <d v="2026-03-28T00:18:00"/>
    <n v="0"/>
    <x v="3"/>
    <n v="107"/>
    <s v="Surat"/>
  </r>
  <r>
    <x v="2"/>
    <d v="2026-02-11T14:29:00"/>
    <n v="14"/>
    <x v="2"/>
    <n v="34.5"/>
    <s v="Indore"/>
  </r>
  <r>
    <x v="2"/>
    <d v="2026-03-30T03:23:00"/>
    <n v="3"/>
    <x v="1"/>
    <n v="15.5"/>
    <s v="Vadodara"/>
  </r>
  <r>
    <x v="2"/>
    <d v="2026-02-04T08:35:00"/>
    <n v="8"/>
    <x v="3"/>
    <n v="54.6"/>
    <s v="Ahmedabad"/>
  </r>
  <r>
    <x v="2"/>
    <d v="2026-02-16T05:26:00"/>
    <n v="5"/>
    <x v="3"/>
    <n v="142.30000000000001"/>
    <s v="Rajkot"/>
  </r>
  <r>
    <x v="2"/>
    <d v="2026-03-07T17:32:00"/>
    <n v="17"/>
    <x v="0"/>
    <n v="34.6"/>
    <s v="Rajkot"/>
  </r>
  <r>
    <x v="2"/>
    <d v="2026-03-06T06:30:00"/>
    <n v="6"/>
    <x v="3"/>
    <n v="91.8"/>
    <s v="Indore"/>
  </r>
  <r>
    <x v="2"/>
    <d v="2026-01-19T14:37:00"/>
    <n v="14"/>
    <x v="1"/>
    <n v="50.2"/>
    <s v="Ahmedabad"/>
  </r>
  <r>
    <x v="2"/>
    <d v="2026-02-16T06:57:00"/>
    <n v="6"/>
    <x v="2"/>
    <n v="111.4"/>
    <s v="Vadodara"/>
  </r>
  <r>
    <x v="2"/>
    <d v="2026-01-03T17:46:00"/>
    <n v="17"/>
    <x v="2"/>
    <n v="65.599999999999994"/>
    <s v="Indore"/>
  </r>
  <r>
    <x v="2"/>
    <d v="2026-03-01T16:17:00"/>
    <n v="16"/>
    <x v="3"/>
    <n v="61.2"/>
    <s v="Rajkot"/>
  </r>
  <r>
    <x v="2"/>
    <d v="2026-02-05T10:15:00"/>
    <n v="10"/>
    <x v="1"/>
    <n v="47.3"/>
    <s v="Ahmedabad"/>
  </r>
  <r>
    <x v="2"/>
    <d v="2026-02-20T16:08:00"/>
    <n v="16"/>
    <x v="3"/>
    <n v="43.9"/>
    <s v="Surat"/>
  </r>
  <r>
    <x v="3"/>
    <d v="2026-01-06T02:42:00"/>
    <n v="2"/>
    <x v="1"/>
    <n v="11.9"/>
    <s v="Vadodara"/>
  </r>
  <r>
    <x v="3"/>
    <d v="2026-03-21T02:32:00"/>
    <n v="2"/>
    <x v="3"/>
    <n v="111.9"/>
    <s v="Vadodara"/>
  </r>
  <r>
    <x v="3"/>
    <d v="2026-01-17T03:29:00"/>
    <n v="3"/>
    <x v="3"/>
    <n v="91.7"/>
    <s v="Vadodara"/>
  </r>
  <r>
    <x v="3"/>
    <d v="2026-03-07T03:37:00"/>
    <n v="3"/>
    <x v="3"/>
    <n v="115.7"/>
    <s v="Indore"/>
  </r>
  <r>
    <x v="3"/>
    <d v="2026-03-01T22:05:00"/>
    <n v="22"/>
    <x v="1"/>
    <n v="41.8"/>
    <s v="Surat"/>
  </r>
  <r>
    <x v="3"/>
    <d v="2026-03-13T04:33:00"/>
    <n v="4"/>
    <x v="2"/>
    <n v="98"/>
    <s v="Bharuch"/>
  </r>
  <r>
    <x v="3"/>
    <d v="2026-01-13T09:40:00"/>
    <n v="9"/>
    <x v="1"/>
    <n v="43.5"/>
    <s v="Rajkot"/>
  </r>
  <r>
    <x v="3"/>
    <d v="2026-01-29T18:30:00"/>
    <n v="18"/>
    <x v="3"/>
    <n v="134.4"/>
    <s v="Ahmedabad"/>
  </r>
  <r>
    <x v="3"/>
    <d v="2026-01-16T05:31:00"/>
    <n v="5"/>
    <x v="3"/>
    <n v="38.799999999999997"/>
    <s v="Indore"/>
  </r>
  <r>
    <x v="3"/>
    <d v="2026-03-27T20:27:00"/>
    <n v="20"/>
    <x v="2"/>
    <n v="111.8"/>
    <s v="Indore"/>
  </r>
  <r>
    <x v="3"/>
    <d v="2026-03-18T13:22:00"/>
    <n v="13"/>
    <x v="1"/>
    <n v="25.9"/>
    <s v="Surat"/>
  </r>
  <r>
    <x v="4"/>
    <d v="2026-02-13T17:21:00"/>
    <n v="17"/>
    <x v="1"/>
    <n v="14"/>
    <s v="Rajkot"/>
  </r>
  <r>
    <x v="4"/>
    <d v="2026-03-10T04:50:00"/>
    <n v="4"/>
    <x v="0"/>
    <n v="32.1"/>
    <s v="Rajkot"/>
  </r>
  <r>
    <x v="4"/>
    <d v="2026-03-03T17:02:00"/>
    <n v="17"/>
    <x v="0"/>
    <n v="59.9"/>
    <s v="Ahmedabad"/>
  </r>
  <r>
    <x v="4"/>
    <d v="2026-03-19T03:17:00"/>
    <n v="3"/>
    <x v="2"/>
    <n v="136.1"/>
    <s v="Vadodara"/>
  </r>
  <r>
    <x v="4"/>
    <d v="2026-02-09T09:56:00"/>
    <n v="9"/>
    <x v="1"/>
    <n v="28.5"/>
    <s v="Rajkot"/>
  </r>
  <r>
    <x v="4"/>
    <d v="2026-03-26T18:19:00"/>
    <n v="18"/>
    <x v="3"/>
    <n v="86.3"/>
    <s v="Indore"/>
  </r>
  <r>
    <x v="4"/>
    <d v="2026-03-06T21:45:00"/>
    <n v="21"/>
    <x v="2"/>
    <n v="119.3"/>
    <s v="Rajkot"/>
  </r>
  <r>
    <x v="4"/>
    <d v="2026-01-19T20:10:00"/>
    <n v="20"/>
    <x v="0"/>
    <n v="45.9"/>
    <s v="Ahmedabad"/>
  </r>
  <r>
    <x v="4"/>
    <d v="2026-01-22T11:44:00"/>
    <n v="11"/>
    <x v="1"/>
    <n v="12.7"/>
    <s v="Surat"/>
  </r>
  <r>
    <x v="4"/>
    <d v="2026-01-31T21:19:00"/>
    <n v="21"/>
    <x v="1"/>
    <n v="29.8"/>
    <s v="Ahmedabad"/>
  </r>
  <r>
    <x v="4"/>
    <d v="2026-02-04T05:31:00"/>
    <n v="5"/>
    <x v="1"/>
    <n v="41.8"/>
    <s v="Indore"/>
  </r>
  <r>
    <x v="4"/>
    <d v="2026-01-10T11:40:00"/>
    <n v="11"/>
    <x v="1"/>
    <n v="57.6"/>
    <s v="Vadodara"/>
  </r>
  <r>
    <x v="4"/>
    <d v="2026-02-03T07:27:00"/>
    <n v="7"/>
    <x v="1"/>
    <n v="55.5"/>
    <s v="Bharuch"/>
  </r>
  <r>
    <x v="4"/>
    <d v="2026-01-17T22:54:00"/>
    <n v="22"/>
    <x v="1"/>
    <n v="39.299999999999997"/>
    <s v="Bharuch"/>
  </r>
  <r>
    <x v="4"/>
    <d v="2026-03-03T13:08:00"/>
    <n v="13"/>
    <x v="0"/>
    <n v="44.7"/>
    <s v="Vadodara"/>
  </r>
  <r>
    <x v="4"/>
    <d v="2026-03-10T09:58:00"/>
    <n v="9"/>
    <x v="0"/>
    <n v="8.8000000000000007"/>
    <s v="Surat"/>
  </r>
  <r>
    <x v="4"/>
    <d v="2026-02-15T03:40:00"/>
    <n v="3"/>
    <x v="2"/>
    <n v="118"/>
    <s v="Rajkot"/>
  </r>
  <r>
    <x v="4"/>
    <d v="2026-03-26T03:47:00"/>
    <n v="3"/>
    <x v="1"/>
    <n v="55.1"/>
    <s v="Vadodara"/>
  </r>
  <r>
    <x v="4"/>
    <d v="2026-02-18T08:37:00"/>
    <n v="8"/>
    <x v="2"/>
    <n v="32.6"/>
    <s v="Ahmedabad"/>
  </r>
  <r>
    <x v="5"/>
    <d v="2026-03-17T12:27:00"/>
    <n v="12"/>
    <x v="2"/>
    <n v="116.4"/>
    <s v="Rajkot"/>
  </r>
  <r>
    <x v="5"/>
    <d v="2026-03-08T10:55:00"/>
    <n v="10"/>
    <x v="1"/>
    <n v="23.9"/>
    <s v="Vadodara"/>
  </r>
  <r>
    <x v="5"/>
    <d v="2026-03-09T06:19:00"/>
    <n v="6"/>
    <x v="0"/>
    <n v="52.6"/>
    <s v="Rajkot"/>
  </r>
  <r>
    <x v="5"/>
    <d v="2026-03-20T10:28:00"/>
    <n v="10"/>
    <x v="2"/>
    <n v="115.3"/>
    <s v="Indore"/>
  </r>
  <r>
    <x v="5"/>
    <d v="2026-03-10T08:26:00"/>
    <n v="8"/>
    <x v="1"/>
    <n v="47.8"/>
    <s v="Rajkot"/>
  </r>
  <r>
    <x v="5"/>
    <d v="2026-01-14T21:39:00"/>
    <n v="21"/>
    <x v="2"/>
    <n v="50.1"/>
    <s v="Rajkot"/>
  </r>
  <r>
    <x v="5"/>
    <d v="2026-01-17T20:28:00"/>
    <n v="20"/>
    <x v="1"/>
    <n v="49.9"/>
    <s v="Rajkot"/>
  </r>
  <r>
    <x v="5"/>
    <d v="2026-01-26T14:30:00"/>
    <n v="14"/>
    <x v="3"/>
    <n v="81.900000000000006"/>
    <s v="Rajkot"/>
  </r>
  <r>
    <x v="5"/>
    <d v="2026-03-08T07:58:00"/>
    <n v="7"/>
    <x v="0"/>
    <n v="49.4"/>
    <s v="Vadodara"/>
  </r>
  <r>
    <x v="5"/>
    <d v="2026-03-25T21:21:00"/>
    <n v="21"/>
    <x v="1"/>
    <n v="44.7"/>
    <s v="Ahmedabad"/>
  </r>
  <r>
    <x v="5"/>
    <d v="2026-01-31T16:08:00"/>
    <n v="16"/>
    <x v="1"/>
    <n v="40.4"/>
    <s v="Rajkot"/>
  </r>
  <r>
    <x v="5"/>
    <d v="2026-03-15T13:11:00"/>
    <n v="13"/>
    <x v="3"/>
    <n v="49.3"/>
    <s v="Bharuch"/>
  </r>
  <r>
    <x v="5"/>
    <d v="2026-03-05T23:30:00"/>
    <n v="23"/>
    <x v="1"/>
    <n v="11.3"/>
    <s v="Vadodara"/>
  </r>
  <r>
    <x v="5"/>
    <d v="2026-03-07T07:03:00"/>
    <n v="7"/>
    <x v="1"/>
    <n v="33.799999999999997"/>
    <s v="Ahmedabad"/>
  </r>
  <r>
    <x v="5"/>
    <d v="2026-01-03T12:49:00"/>
    <n v="12"/>
    <x v="1"/>
    <n v="16.5"/>
    <s v="Vadodara"/>
  </r>
  <r>
    <x v="5"/>
    <d v="2026-02-27T10:03:00"/>
    <n v="10"/>
    <x v="2"/>
    <n v="78.900000000000006"/>
    <s v="Surat"/>
  </r>
  <r>
    <x v="5"/>
    <d v="2026-03-20T10:19:00"/>
    <n v="10"/>
    <x v="1"/>
    <n v="59"/>
    <s v="Rajkot"/>
  </r>
  <r>
    <x v="6"/>
    <d v="2026-02-19T05:26:00"/>
    <n v="5"/>
    <x v="1"/>
    <n v="53.2"/>
    <s v="Ahmedabad"/>
  </r>
  <r>
    <x v="6"/>
    <d v="2026-01-31T00:51:00"/>
    <n v="0"/>
    <x v="0"/>
    <n v="12.1"/>
    <s v="Vadodara"/>
  </r>
  <r>
    <x v="6"/>
    <d v="2026-02-12T07:44:00"/>
    <n v="7"/>
    <x v="0"/>
    <n v="35.700000000000003"/>
    <s v="Surat"/>
  </r>
  <r>
    <x v="6"/>
    <d v="2026-02-07T06:37:00"/>
    <n v="6"/>
    <x v="2"/>
    <n v="117.5"/>
    <s v="Surat"/>
  </r>
  <r>
    <x v="6"/>
    <d v="2026-03-20T14:01:00"/>
    <n v="14"/>
    <x v="1"/>
    <n v="13.7"/>
    <s v="Surat"/>
  </r>
  <r>
    <x v="6"/>
    <d v="2026-01-30T09:47:00"/>
    <n v="9"/>
    <x v="0"/>
    <n v="32.799999999999997"/>
    <s v="Indore"/>
  </r>
  <r>
    <x v="6"/>
    <d v="2026-03-08T19:13:00"/>
    <n v="19"/>
    <x v="1"/>
    <n v="6.9"/>
    <s v="Indore"/>
  </r>
  <r>
    <x v="6"/>
    <d v="2026-02-08T20:26:00"/>
    <n v="20"/>
    <x v="1"/>
    <n v="29.4"/>
    <s v="Indore"/>
  </r>
  <r>
    <x v="6"/>
    <d v="2026-02-02T07:12:00"/>
    <n v="7"/>
    <x v="1"/>
    <n v="29.3"/>
    <s v="Vadodara"/>
  </r>
  <r>
    <x v="6"/>
    <d v="2026-02-07T05:31:00"/>
    <n v="5"/>
    <x v="2"/>
    <n v="72.3"/>
    <s v="Ahmedabad"/>
  </r>
  <r>
    <x v="6"/>
    <d v="2026-01-26T01:14:00"/>
    <n v="1"/>
    <x v="1"/>
    <n v="14.5"/>
    <s v="Rajkot"/>
  </r>
  <r>
    <x v="6"/>
    <d v="2026-01-29T22:29:00"/>
    <n v="22"/>
    <x v="1"/>
    <n v="10.199999999999999"/>
    <s v="Indore"/>
  </r>
  <r>
    <x v="6"/>
    <d v="2026-03-05T03:10:00"/>
    <n v="3"/>
    <x v="1"/>
    <n v="44.3"/>
    <s v="Remote Route"/>
  </r>
  <r>
    <x v="7"/>
    <d v="2026-03-11T15:11:00"/>
    <n v="15"/>
    <x v="1"/>
    <n v="59.6"/>
    <s v="Rajkot"/>
  </r>
  <r>
    <x v="7"/>
    <d v="2026-01-27T10:16:00"/>
    <n v="10"/>
    <x v="0"/>
    <n v="7.4"/>
    <s v="Bharuch"/>
  </r>
  <r>
    <x v="7"/>
    <d v="2026-01-11T19:20:00"/>
    <n v="19"/>
    <x v="2"/>
    <n v="64.3"/>
    <s v="Bharuch"/>
  </r>
  <r>
    <x v="7"/>
    <d v="2026-02-06T16:05:00"/>
    <n v="16"/>
    <x v="2"/>
    <n v="77.599999999999994"/>
    <s v="Bharuch"/>
  </r>
  <r>
    <x v="7"/>
    <d v="2026-01-05T07:58:00"/>
    <n v="7"/>
    <x v="1"/>
    <n v="9"/>
    <s v="Vadodara"/>
  </r>
  <r>
    <x v="7"/>
    <d v="2026-02-23T07:32:00"/>
    <n v="7"/>
    <x v="0"/>
    <n v="26.5"/>
    <s v="Ahmedabad"/>
  </r>
  <r>
    <x v="7"/>
    <d v="2026-01-08T01:35:00"/>
    <n v="1"/>
    <x v="2"/>
    <n v="34.299999999999997"/>
    <s v="Ahmedabad"/>
  </r>
  <r>
    <x v="7"/>
    <d v="2026-01-29T07:10:00"/>
    <n v="7"/>
    <x v="2"/>
    <n v="133.19999999999999"/>
    <s v="Surat"/>
  </r>
  <r>
    <x v="7"/>
    <d v="2026-02-23T23:52:00"/>
    <n v="23"/>
    <x v="0"/>
    <n v="46.4"/>
    <s v="Vadodara"/>
  </r>
  <r>
    <x v="7"/>
    <d v="2026-03-02T09:45:00"/>
    <n v="9"/>
    <x v="1"/>
    <n v="53"/>
    <s v="Surat"/>
  </r>
  <r>
    <x v="8"/>
    <d v="2026-02-15T21:17:00"/>
    <n v="21"/>
    <x v="0"/>
    <n v="39.9"/>
    <s v="Vadodara"/>
  </r>
  <r>
    <x v="8"/>
    <d v="2026-02-06T05:26:00"/>
    <n v="5"/>
    <x v="3"/>
    <n v="75.2"/>
    <s v="Bharuch"/>
  </r>
  <r>
    <x v="8"/>
    <d v="2026-02-06T13:54:00"/>
    <n v="13"/>
    <x v="1"/>
    <n v="34.299999999999997"/>
    <s v="Indore"/>
  </r>
  <r>
    <x v="8"/>
    <d v="2026-02-12T04:28:00"/>
    <n v="4"/>
    <x v="0"/>
    <n v="51.8"/>
    <s v="Vadodara"/>
  </r>
  <r>
    <x v="8"/>
    <d v="2026-02-04T18:33:00"/>
    <n v="18"/>
    <x v="2"/>
    <n v="33.5"/>
    <s v="Indore"/>
  </r>
  <r>
    <x v="8"/>
    <d v="2026-03-15T11:53:00"/>
    <n v="11"/>
    <x v="0"/>
    <n v="34.4"/>
    <s v="Rajkot"/>
  </r>
  <r>
    <x v="8"/>
    <d v="2026-03-22T15:23:00"/>
    <n v="15"/>
    <x v="3"/>
    <n v="40.6"/>
    <s v="Rajkot"/>
  </r>
  <r>
    <x v="8"/>
    <d v="2026-01-11T21:44:00"/>
    <n v="21"/>
    <x v="0"/>
    <n v="18.5"/>
    <s v="Surat"/>
  </r>
  <r>
    <x v="8"/>
    <d v="2026-03-06T02:16:00"/>
    <n v="2"/>
    <x v="0"/>
    <n v="41.6"/>
    <s v="Indore"/>
  </r>
  <r>
    <x v="8"/>
    <d v="2026-01-18T07:05:00"/>
    <n v="7"/>
    <x v="2"/>
    <n v="99.6"/>
    <s v="Bharuch"/>
  </r>
  <r>
    <x v="8"/>
    <d v="2026-01-10T17:13:00"/>
    <n v="17"/>
    <x v="2"/>
    <n v="89.2"/>
    <s v="Bharuch"/>
  </r>
  <r>
    <x v="9"/>
    <d v="2026-02-25T18:30:00"/>
    <n v="18"/>
    <x v="3"/>
    <n v="81"/>
    <s v="Vadodara"/>
  </r>
  <r>
    <x v="9"/>
    <d v="2026-02-13T16:51:00"/>
    <n v="16"/>
    <x v="0"/>
    <n v="16.399999999999999"/>
    <s v="Bharuch"/>
  </r>
  <r>
    <x v="9"/>
    <d v="2026-02-19T11:08:00"/>
    <n v="11"/>
    <x v="3"/>
    <n v="87.2"/>
    <s v="Indore"/>
  </r>
  <r>
    <x v="9"/>
    <d v="2026-03-16T00:20:00"/>
    <n v="0"/>
    <x v="0"/>
    <n v="17.5"/>
    <s v="Vadodara"/>
  </r>
  <r>
    <x v="9"/>
    <d v="2026-01-31T04:35:00"/>
    <n v="4"/>
    <x v="2"/>
    <n v="122"/>
    <s v="Bharuch"/>
  </r>
  <r>
    <x v="9"/>
    <d v="2026-01-09T00:07:00"/>
    <n v="0"/>
    <x v="0"/>
    <n v="19.600000000000001"/>
    <s v="Vadodara"/>
  </r>
  <r>
    <x v="9"/>
    <d v="2026-03-10T18:37:00"/>
    <n v="18"/>
    <x v="3"/>
    <n v="45.8"/>
    <s v="Vadodara"/>
  </r>
  <r>
    <x v="9"/>
    <d v="2026-03-23T06:20:00"/>
    <n v="6"/>
    <x v="0"/>
    <n v="49.3"/>
    <s v="Indore"/>
  </r>
  <r>
    <x v="9"/>
    <d v="2026-01-18T17:52:00"/>
    <n v="17"/>
    <x v="0"/>
    <n v="22.6"/>
    <s v="Ahmedabad"/>
  </r>
  <r>
    <x v="9"/>
    <d v="2026-01-26T18:21:00"/>
    <n v="18"/>
    <x v="3"/>
    <n v="139.9"/>
    <s v="Bharuch"/>
  </r>
  <r>
    <x v="9"/>
    <d v="2026-02-03T02:59:00"/>
    <n v="2"/>
    <x v="0"/>
    <n v="6"/>
    <s v="Vadodara"/>
  </r>
  <r>
    <x v="9"/>
    <d v="2026-02-13T04:20:00"/>
    <n v="4"/>
    <x v="0"/>
    <n v="21.3"/>
    <s v="Ahmedabad"/>
  </r>
  <r>
    <x v="9"/>
    <d v="2026-01-17T10:11:00"/>
    <n v="10"/>
    <x v="3"/>
    <n v="30.5"/>
    <s v="Surat"/>
  </r>
  <r>
    <x v="9"/>
    <d v="2026-03-06T19:00:00"/>
    <n v="19"/>
    <x v="1"/>
    <n v="29.1"/>
    <s v="Ahmedabad"/>
  </r>
  <r>
    <x v="9"/>
    <d v="2026-02-09T09:49:00"/>
    <n v="9"/>
    <x v="2"/>
    <n v="114.4"/>
    <s v="Ahmedabad"/>
  </r>
  <r>
    <x v="9"/>
    <d v="2026-03-26T23:43:00"/>
    <n v="23"/>
    <x v="1"/>
    <n v="37.200000000000003"/>
    <s v="Vadodara"/>
  </r>
  <r>
    <x v="9"/>
    <d v="2026-03-13T08:27:00"/>
    <n v="8"/>
    <x v="2"/>
    <n v="21.8"/>
    <s v="Indore"/>
  </r>
  <r>
    <x v="9"/>
    <d v="2026-03-18T01:25:00"/>
    <n v="1"/>
    <x v="0"/>
    <n v="47.9"/>
    <s v="Rajkot"/>
  </r>
  <r>
    <x v="10"/>
    <d v="2026-02-23T11:01:00"/>
    <n v="11"/>
    <x v="1"/>
    <n v="53.6"/>
    <s v="Rajkot"/>
  </r>
  <r>
    <x v="10"/>
    <d v="2026-01-08T12:03:00"/>
    <n v="12"/>
    <x v="0"/>
    <n v="21.4"/>
    <s v="Rajkot"/>
  </r>
  <r>
    <x v="10"/>
    <d v="2026-01-07T05:07:00"/>
    <n v="5"/>
    <x v="2"/>
    <n v="75.7"/>
    <s v="Rajkot"/>
  </r>
  <r>
    <x v="10"/>
    <d v="2026-02-17T07:38:00"/>
    <n v="7"/>
    <x v="2"/>
    <n v="80.2"/>
    <s v="Bharuch"/>
  </r>
  <r>
    <x v="10"/>
    <d v="2026-01-28T16:01:00"/>
    <n v="16"/>
    <x v="3"/>
    <n v="122.2"/>
    <s v="Rajkot"/>
  </r>
  <r>
    <x v="10"/>
    <d v="2026-02-06T20:55:00"/>
    <n v="20"/>
    <x v="3"/>
    <n v="77.099999999999994"/>
    <s v="Ahmedabad"/>
  </r>
  <r>
    <x v="10"/>
    <d v="2026-01-18T02:14:00"/>
    <n v="2"/>
    <x v="0"/>
    <n v="60"/>
    <s v="Surat"/>
  </r>
  <r>
    <x v="10"/>
    <d v="2026-01-04T06:41:00"/>
    <n v="6"/>
    <x v="1"/>
    <n v="14.4"/>
    <s v="Bharuch"/>
  </r>
  <r>
    <x v="10"/>
    <d v="2026-02-13T06:43:00"/>
    <n v="6"/>
    <x v="0"/>
    <n v="26.9"/>
    <s v="Vadodara"/>
  </r>
  <r>
    <x v="10"/>
    <d v="2026-02-28T22:07:00"/>
    <n v="22"/>
    <x v="2"/>
    <n v="84.7"/>
    <s v="Bharuch"/>
  </r>
  <r>
    <x v="10"/>
    <d v="2026-01-10T02:30:00"/>
    <n v="2"/>
    <x v="1"/>
    <n v="29.5"/>
    <s v="Ahmedabad"/>
  </r>
  <r>
    <x v="10"/>
    <d v="2026-03-20T15:50:00"/>
    <n v="15"/>
    <x v="0"/>
    <n v="44.6"/>
    <s v="Ahmedabad"/>
  </r>
  <r>
    <x v="10"/>
    <d v="2026-03-12T11:55:00"/>
    <n v="11"/>
    <x v="2"/>
    <n v="35.1"/>
    <s v="Indore"/>
  </r>
  <r>
    <x v="10"/>
    <d v="2026-01-05T17:46:00"/>
    <n v="17"/>
    <x v="1"/>
    <n v="31.3"/>
    <s v="Rajkot"/>
  </r>
  <r>
    <x v="11"/>
    <d v="2026-03-07T01:54:00"/>
    <n v="1"/>
    <x v="1"/>
    <n v="44.9"/>
    <s v="Vadodara"/>
  </r>
  <r>
    <x v="11"/>
    <d v="2026-01-09T09:07:00"/>
    <n v="9"/>
    <x v="3"/>
    <n v="85.4"/>
    <s v="Bharuch"/>
  </r>
  <r>
    <x v="11"/>
    <d v="2026-03-06T00:41:00"/>
    <n v="0"/>
    <x v="3"/>
    <n v="30.4"/>
    <s v="Indore"/>
  </r>
  <r>
    <x v="11"/>
    <d v="2026-02-24T15:18:00"/>
    <n v="15"/>
    <x v="1"/>
    <n v="26.3"/>
    <s v="Surat"/>
  </r>
  <r>
    <x v="11"/>
    <d v="2026-01-08T08:23:00"/>
    <n v="8"/>
    <x v="1"/>
    <n v="18.899999999999999"/>
    <s v="Vadodara"/>
  </r>
  <r>
    <x v="11"/>
    <d v="2026-01-07T18:06:00"/>
    <n v="18"/>
    <x v="0"/>
    <n v="49.1"/>
    <s v="Rajkot"/>
  </r>
  <r>
    <x v="11"/>
    <d v="2026-02-16T10:49:00"/>
    <n v="10"/>
    <x v="1"/>
    <n v="58.4"/>
    <s v="Bharuch"/>
  </r>
  <r>
    <x v="11"/>
    <d v="2026-01-30T10:44:00"/>
    <n v="10"/>
    <x v="0"/>
    <n v="45.5"/>
    <s v="Vadodara"/>
  </r>
  <r>
    <x v="11"/>
    <d v="2026-01-28T02:11:00"/>
    <n v="2"/>
    <x v="0"/>
    <n v="28.9"/>
    <s v="Vadodara"/>
  </r>
  <r>
    <x v="11"/>
    <d v="2026-02-17T14:28:00"/>
    <n v="14"/>
    <x v="0"/>
    <n v="13.3"/>
    <s v="Ahmedabad"/>
  </r>
  <r>
    <x v="11"/>
    <d v="2026-02-26T22:39:00"/>
    <n v="22"/>
    <x v="3"/>
    <n v="146"/>
    <s v="Vadodara"/>
  </r>
  <r>
    <x v="11"/>
    <d v="2026-02-16T03:15:00"/>
    <n v="3"/>
    <x v="3"/>
    <n v="21.8"/>
    <s v="Vadodara"/>
  </r>
  <r>
    <x v="11"/>
    <d v="2026-03-27T23:01:00"/>
    <n v="23"/>
    <x v="1"/>
    <n v="21.3"/>
    <s v="Indore"/>
  </r>
  <r>
    <x v="11"/>
    <d v="2026-03-17T08:36:00"/>
    <n v="8"/>
    <x v="1"/>
    <n v="22"/>
    <s v="Ahmedabad"/>
  </r>
  <r>
    <x v="11"/>
    <d v="2026-01-09T20:50:00"/>
    <n v="20"/>
    <x v="1"/>
    <n v="24.6"/>
    <s v="Rajkot"/>
  </r>
  <r>
    <x v="11"/>
    <d v="2026-01-24T10:03:00"/>
    <n v="10"/>
    <x v="1"/>
    <n v="28.6"/>
    <s v="Ahmedabad"/>
  </r>
  <r>
    <x v="11"/>
    <d v="2026-02-12T16:59:00"/>
    <n v="16"/>
    <x v="1"/>
    <n v="38.5"/>
    <s v="Rajkot"/>
  </r>
  <r>
    <x v="12"/>
    <d v="2026-03-10T17:21:00"/>
    <n v="17"/>
    <x v="3"/>
    <n v="130.80000000000001"/>
    <s v="Ahmedabad"/>
  </r>
  <r>
    <x v="12"/>
    <d v="2026-03-01T01:00:00"/>
    <n v="1"/>
    <x v="1"/>
    <n v="30.1"/>
    <s v="Vadodara"/>
  </r>
  <r>
    <x v="12"/>
    <d v="2026-01-04T10:16:00"/>
    <n v="10"/>
    <x v="0"/>
    <n v="6.8"/>
    <s v="Bharuch"/>
  </r>
  <r>
    <x v="12"/>
    <d v="2026-01-10T15:55:00"/>
    <n v="15"/>
    <x v="2"/>
    <n v="57.3"/>
    <s v="Rajkot"/>
  </r>
  <r>
    <x v="12"/>
    <d v="2026-02-15T21:11:00"/>
    <n v="21"/>
    <x v="1"/>
    <n v="26.3"/>
    <s v="Rajkot"/>
  </r>
  <r>
    <x v="12"/>
    <d v="2026-02-10T01:40:00"/>
    <n v="1"/>
    <x v="0"/>
    <n v="52.6"/>
    <s v="Indore"/>
  </r>
  <r>
    <x v="12"/>
    <d v="2026-01-10T11:32:00"/>
    <n v="11"/>
    <x v="0"/>
    <n v="10.6"/>
    <s v="Surat"/>
  </r>
  <r>
    <x v="12"/>
    <d v="2026-02-18T23:21:00"/>
    <n v="23"/>
    <x v="3"/>
    <n v="65.400000000000006"/>
    <s v="Surat"/>
  </r>
  <r>
    <x v="12"/>
    <d v="2026-01-30T17:40:00"/>
    <n v="17"/>
    <x v="1"/>
    <n v="48.6"/>
    <s v="Rajkot"/>
  </r>
  <r>
    <x v="12"/>
    <d v="2026-02-18T23:12:00"/>
    <n v="23"/>
    <x v="2"/>
    <n v="28.3"/>
    <s v="Indore"/>
  </r>
  <r>
    <x v="12"/>
    <d v="2026-02-09T10:34:00"/>
    <n v="10"/>
    <x v="3"/>
    <n v="107"/>
    <s v="Bharuch"/>
  </r>
  <r>
    <x v="12"/>
    <d v="2026-03-18T20:21:00"/>
    <n v="20"/>
    <x v="2"/>
    <n v="89.7"/>
    <s v="Ahmedabad"/>
  </r>
  <r>
    <x v="12"/>
    <d v="2026-01-16T18:35:00"/>
    <n v="18"/>
    <x v="0"/>
    <n v="24"/>
    <s v="Indore"/>
  </r>
  <r>
    <x v="12"/>
    <d v="2026-02-22T20:36:00"/>
    <n v="20"/>
    <x v="3"/>
    <n v="93.9"/>
    <s v="Rajkot"/>
  </r>
  <r>
    <x v="12"/>
    <d v="2026-02-27T16:18:00"/>
    <n v="16"/>
    <x v="3"/>
    <n v="119.5"/>
    <s v="Surat"/>
  </r>
  <r>
    <x v="13"/>
    <d v="2026-01-02T17:24:00"/>
    <n v="17"/>
    <x v="2"/>
    <n v="91.1"/>
    <s v="Indore"/>
  </r>
  <r>
    <x v="13"/>
    <d v="2026-02-18T16:16:00"/>
    <n v="16"/>
    <x v="1"/>
    <n v="52.1"/>
    <s v="Rajkot"/>
  </r>
  <r>
    <x v="13"/>
    <d v="2026-02-27T03:03:00"/>
    <n v="3"/>
    <x v="0"/>
    <n v="46.9"/>
    <s v="Rajkot"/>
  </r>
  <r>
    <x v="13"/>
    <d v="2026-03-31T09:59:00"/>
    <n v="9"/>
    <x v="1"/>
    <n v="21.7"/>
    <s v="Surat"/>
  </r>
  <r>
    <x v="13"/>
    <d v="2026-01-05T19:18:00"/>
    <n v="19"/>
    <x v="3"/>
    <n v="60.8"/>
    <s v="Vadodara"/>
  </r>
  <r>
    <x v="13"/>
    <d v="2026-03-10T11:04:00"/>
    <n v="11"/>
    <x v="1"/>
    <n v="9.9"/>
    <s v="Vadodara"/>
  </r>
  <r>
    <x v="13"/>
    <d v="2026-03-26T21:06:00"/>
    <n v="21"/>
    <x v="2"/>
    <n v="25.7"/>
    <s v="Ahmedabad"/>
  </r>
  <r>
    <x v="13"/>
    <d v="2026-03-25T08:21:00"/>
    <n v="8"/>
    <x v="0"/>
    <n v="14.7"/>
    <s v="Vadodara"/>
  </r>
  <r>
    <x v="13"/>
    <d v="2026-03-23T00:22:00"/>
    <n v="0"/>
    <x v="1"/>
    <n v="19.8"/>
    <s v="Surat"/>
  </r>
  <r>
    <x v="13"/>
    <d v="2026-02-21T22:31:00"/>
    <n v="22"/>
    <x v="2"/>
    <n v="123.8"/>
    <s v="Ahmedabad"/>
  </r>
  <r>
    <x v="13"/>
    <d v="2026-03-24T20:58:00"/>
    <n v="20"/>
    <x v="0"/>
    <n v="56.1"/>
    <s v="Rajkot"/>
  </r>
  <r>
    <x v="13"/>
    <d v="2026-01-20T05:29:00"/>
    <n v="5"/>
    <x v="3"/>
    <n v="100.2"/>
    <s v="Bharuch"/>
  </r>
  <r>
    <x v="13"/>
    <d v="2026-02-25T23:38:00"/>
    <n v="23"/>
    <x v="1"/>
    <n v="55.3"/>
    <s v="Ahmedabad"/>
  </r>
  <r>
    <x v="13"/>
    <d v="2026-01-30T03:33:00"/>
    <n v="3"/>
    <x v="0"/>
    <n v="7.2"/>
    <s v="Bharuch"/>
  </r>
  <r>
    <x v="13"/>
    <d v="2026-03-27T18:04:00"/>
    <n v="18"/>
    <x v="1"/>
    <n v="47.1"/>
    <s v="Ahmedabad"/>
  </r>
  <r>
    <x v="13"/>
    <d v="2026-01-05T22:52:00"/>
    <n v="22"/>
    <x v="0"/>
    <n v="30"/>
    <s v="Ahmedabad"/>
  </r>
  <r>
    <x v="13"/>
    <d v="2026-01-23T19:41:00"/>
    <n v="19"/>
    <x v="2"/>
    <n v="48.8"/>
    <s v="Indore"/>
  </r>
  <r>
    <x v="13"/>
    <d v="2026-03-21T15:03:00"/>
    <n v="15"/>
    <x v="3"/>
    <n v="57"/>
    <s v="Indore"/>
  </r>
  <r>
    <x v="13"/>
    <d v="2026-01-21T10:21:00"/>
    <n v="10"/>
    <x v="0"/>
    <n v="12.3"/>
    <s v="Ahmedabad"/>
  </r>
  <r>
    <x v="14"/>
    <d v="2026-02-16T21:54:00"/>
    <n v="21"/>
    <x v="0"/>
    <n v="22.4"/>
    <s v="Ahmedabad"/>
  </r>
  <r>
    <x v="14"/>
    <d v="2026-02-13T06:52:00"/>
    <n v="6"/>
    <x v="1"/>
    <n v="26"/>
    <s v="Vadodara"/>
  </r>
  <r>
    <x v="14"/>
    <d v="2026-03-08T11:18:00"/>
    <n v="11"/>
    <x v="3"/>
    <n v="47.7"/>
    <s v="Vadodara"/>
  </r>
  <r>
    <x v="14"/>
    <d v="2026-02-25T06:42:00"/>
    <n v="6"/>
    <x v="0"/>
    <n v="8.3000000000000007"/>
    <s v="Ahmedabad"/>
  </r>
  <r>
    <x v="14"/>
    <d v="2026-01-27T07:15:00"/>
    <n v="7"/>
    <x v="0"/>
    <n v="23.8"/>
    <s v="Ahmedabad"/>
  </r>
  <r>
    <x v="14"/>
    <d v="2026-01-06T13:03:00"/>
    <n v="13"/>
    <x v="2"/>
    <n v="141.69999999999999"/>
    <s v="Bharuch"/>
  </r>
  <r>
    <x v="14"/>
    <d v="2026-02-04T13:46:00"/>
    <n v="13"/>
    <x v="3"/>
    <n v="30.3"/>
    <s v="Rajkot"/>
  </r>
  <r>
    <x v="14"/>
    <d v="2026-01-13T19:54:00"/>
    <n v="19"/>
    <x v="3"/>
    <n v="69.8"/>
    <s v="Bharuch"/>
  </r>
  <r>
    <x v="14"/>
    <d v="2026-02-13T14:42:00"/>
    <n v="14"/>
    <x v="2"/>
    <n v="50.9"/>
    <s v="Surat"/>
  </r>
  <r>
    <x v="14"/>
    <d v="2026-01-09T21:47:00"/>
    <n v="21"/>
    <x v="3"/>
    <n v="130.19999999999999"/>
    <s v="Indore"/>
  </r>
  <r>
    <x v="14"/>
    <d v="2026-03-21T06:35:00"/>
    <n v="6"/>
    <x v="0"/>
    <n v="31.7"/>
    <s v="Vadodara"/>
  </r>
  <r>
    <x v="14"/>
    <d v="2026-02-13T03:08:00"/>
    <n v="3"/>
    <x v="0"/>
    <n v="41.8"/>
    <s v="Bharuch"/>
  </r>
  <r>
    <x v="14"/>
    <d v="2026-01-10T06:13:00"/>
    <n v="6"/>
    <x v="1"/>
    <n v="33.200000000000003"/>
    <s v="Indore"/>
  </r>
  <r>
    <x v="14"/>
    <d v="2026-01-29T00:54:00"/>
    <n v="0"/>
    <x v="2"/>
    <n v="67.400000000000006"/>
    <s v="Ahmedabad"/>
  </r>
  <r>
    <x v="14"/>
    <d v="2026-03-03T21:52:00"/>
    <n v="21"/>
    <x v="3"/>
    <n v="43.6"/>
    <s v="Rajkot"/>
  </r>
  <r>
    <x v="14"/>
    <d v="2026-03-09T13:29:00"/>
    <n v="13"/>
    <x v="2"/>
    <n v="26.8"/>
    <s v="Vadodara"/>
  </r>
  <r>
    <x v="14"/>
    <d v="2026-03-09T08:52:00"/>
    <n v="8"/>
    <x v="3"/>
    <n v="53.1"/>
    <s v="Surat"/>
  </r>
  <r>
    <x v="14"/>
    <d v="2026-01-06T04:41:00"/>
    <n v="4"/>
    <x v="2"/>
    <n v="28.8"/>
    <s v="Ahmedabad"/>
  </r>
  <r>
    <x v="15"/>
    <d v="2026-03-26T08:10:00"/>
    <n v="8"/>
    <x v="3"/>
    <n v="63.8"/>
    <s v="Rajkot"/>
  </r>
  <r>
    <x v="15"/>
    <d v="2026-01-04T11:18:00"/>
    <n v="11"/>
    <x v="0"/>
    <n v="25.5"/>
    <s v="Indore"/>
  </r>
  <r>
    <x v="15"/>
    <d v="2026-02-16T07:34:00"/>
    <n v="7"/>
    <x v="2"/>
    <n v="100"/>
    <s v="Ahmedabad"/>
  </r>
  <r>
    <x v="15"/>
    <d v="2026-01-10T05:29:00"/>
    <n v="5"/>
    <x v="3"/>
    <n v="85.6"/>
    <s v="Rajkot"/>
  </r>
  <r>
    <x v="15"/>
    <d v="2026-03-03T11:23:00"/>
    <n v="11"/>
    <x v="2"/>
    <n v="50"/>
    <s v="Surat"/>
  </r>
  <r>
    <x v="15"/>
    <d v="2026-01-13T00:54:00"/>
    <n v="0"/>
    <x v="3"/>
    <n v="47.6"/>
    <s v="Indore"/>
  </r>
  <r>
    <x v="15"/>
    <d v="2026-02-19T04:47:00"/>
    <n v="4"/>
    <x v="1"/>
    <n v="56.8"/>
    <s v="Rajkot"/>
  </r>
  <r>
    <x v="15"/>
    <d v="2026-03-20T11:55:00"/>
    <n v="11"/>
    <x v="0"/>
    <n v="43.4"/>
    <s v="Rajkot"/>
  </r>
  <r>
    <x v="15"/>
    <d v="2026-01-08T18:39:00"/>
    <n v="18"/>
    <x v="2"/>
    <n v="136.6"/>
    <s v="Bharuch"/>
  </r>
  <r>
    <x v="15"/>
    <d v="2026-02-09T02:08:00"/>
    <n v="2"/>
    <x v="0"/>
    <n v="31.7"/>
    <s v="Ahmedabad"/>
  </r>
  <r>
    <x v="15"/>
    <d v="2026-02-09T06:34:00"/>
    <n v="6"/>
    <x v="2"/>
    <n v="58"/>
    <s v="Surat"/>
  </r>
  <r>
    <x v="16"/>
    <d v="2026-03-14T10:00:00"/>
    <n v="10"/>
    <x v="0"/>
    <n v="54.1"/>
    <s v="Indore"/>
  </r>
  <r>
    <x v="16"/>
    <d v="2026-02-25T21:34:00"/>
    <n v="21"/>
    <x v="0"/>
    <n v="33.6"/>
    <s v="Rajkot"/>
  </r>
  <r>
    <x v="16"/>
    <d v="2026-01-17T19:40:00"/>
    <n v="19"/>
    <x v="2"/>
    <n v="136.80000000000001"/>
    <s v="Bharuch"/>
  </r>
  <r>
    <x v="16"/>
    <d v="2026-02-15T04:31:00"/>
    <n v="4"/>
    <x v="1"/>
    <n v="15.7"/>
    <s v="Ahmedabad"/>
  </r>
  <r>
    <x v="16"/>
    <d v="2026-01-13T22:03:00"/>
    <n v="22"/>
    <x v="0"/>
    <n v="48.8"/>
    <s v="Rajkot"/>
  </r>
  <r>
    <x v="16"/>
    <d v="2026-01-30T20:50:00"/>
    <n v="20"/>
    <x v="0"/>
    <n v="23.4"/>
    <s v="Bharuch"/>
  </r>
  <r>
    <x v="16"/>
    <d v="2026-03-27T00:30:00"/>
    <n v="0"/>
    <x v="1"/>
    <n v="20.2"/>
    <s v="Indore"/>
  </r>
  <r>
    <x v="16"/>
    <d v="2026-03-23T14:14:00"/>
    <n v="14"/>
    <x v="2"/>
    <n v="75.5"/>
    <s v="Rajkot"/>
  </r>
  <r>
    <x v="16"/>
    <d v="2026-02-26T21:39:00"/>
    <n v="21"/>
    <x v="3"/>
    <n v="99"/>
    <s v="Surat"/>
  </r>
  <r>
    <x v="16"/>
    <d v="2026-01-25T20:55:00"/>
    <n v="20"/>
    <x v="3"/>
    <n v="56.4"/>
    <s v="Rajkot"/>
  </r>
  <r>
    <x v="16"/>
    <d v="2026-01-09T20:08:00"/>
    <n v="20"/>
    <x v="1"/>
    <n v="40.200000000000003"/>
    <s v="Indore"/>
  </r>
  <r>
    <x v="16"/>
    <d v="2026-01-02T17:46:00"/>
    <n v="17"/>
    <x v="1"/>
    <n v="57.9"/>
    <s v="Indore"/>
  </r>
  <r>
    <x v="16"/>
    <d v="2026-03-03T17:02:00"/>
    <n v="17"/>
    <x v="3"/>
    <n v="57.3"/>
    <s v="Rajkot"/>
  </r>
  <r>
    <x v="16"/>
    <d v="2026-01-16T08:39:00"/>
    <n v="8"/>
    <x v="2"/>
    <n v="120.2"/>
    <s v="Bharuch"/>
  </r>
  <r>
    <x v="16"/>
    <d v="2026-03-03T07:36:00"/>
    <n v="7"/>
    <x v="0"/>
    <n v="23.5"/>
    <s v="Rajkot"/>
  </r>
  <r>
    <x v="16"/>
    <d v="2026-01-31T01:47:00"/>
    <n v="1"/>
    <x v="3"/>
    <n v="107.9"/>
    <s v="Ahmedabad"/>
  </r>
  <r>
    <x v="17"/>
    <d v="2026-03-06T23:52:00"/>
    <n v="23"/>
    <x v="2"/>
    <n v="103"/>
    <s v="Rajkot"/>
  </r>
  <r>
    <x v="17"/>
    <d v="2026-02-17T07:57:00"/>
    <n v="7"/>
    <x v="3"/>
    <n v="32.1"/>
    <s v="Bharuch"/>
  </r>
  <r>
    <x v="17"/>
    <d v="2026-02-05T06:33:00"/>
    <n v="6"/>
    <x v="2"/>
    <n v="102.6"/>
    <s v="Rajkot"/>
  </r>
  <r>
    <x v="17"/>
    <d v="2026-02-03T13:35:00"/>
    <n v="13"/>
    <x v="3"/>
    <n v="68.2"/>
    <s v="Ahmedabad"/>
  </r>
  <r>
    <x v="17"/>
    <d v="2026-01-26T12:40:00"/>
    <n v="12"/>
    <x v="2"/>
    <n v="44.9"/>
    <s v="Indore"/>
  </r>
  <r>
    <x v="17"/>
    <d v="2026-01-25T09:19:00"/>
    <n v="9"/>
    <x v="3"/>
    <n v="149.1"/>
    <s v="Indore"/>
  </r>
  <r>
    <x v="17"/>
    <d v="2026-01-29T02:28:00"/>
    <n v="2"/>
    <x v="1"/>
    <n v="27"/>
    <s v="Indore"/>
  </r>
  <r>
    <x v="17"/>
    <d v="2026-02-09T22:01:00"/>
    <n v="22"/>
    <x v="1"/>
    <n v="42.1"/>
    <s v="Ahmedabad"/>
  </r>
  <r>
    <x v="17"/>
    <d v="2026-01-12T00:56:00"/>
    <n v="0"/>
    <x v="1"/>
    <n v="33.6"/>
    <s v="Bharuch"/>
  </r>
  <r>
    <x v="17"/>
    <d v="2026-02-01T16:41:00"/>
    <n v="16"/>
    <x v="1"/>
    <n v="47.5"/>
    <s v="Rajkot"/>
  </r>
  <r>
    <x v="17"/>
    <d v="2026-03-02T23:49:00"/>
    <n v="23"/>
    <x v="3"/>
    <n v="106.5"/>
    <s v="Vadodara"/>
  </r>
  <r>
    <x v="17"/>
    <d v="2026-02-09T21:04:00"/>
    <n v="21"/>
    <x v="3"/>
    <n v="46.8"/>
    <s v="Vadodara"/>
  </r>
  <r>
    <x v="17"/>
    <d v="2026-03-09T01:38:00"/>
    <n v="1"/>
    <x v="1"/>
    <n v="41"/>
    <s v="Rajkot"/>
  </r>
  <r>
    <x v="17"/>
    <d v="2026-02-09T03:48:00"/>
    <n v="3"/>
    <x v="0"/>
    <n v="40"/>
    <s v="Ahmedabad"/>
  </r>
  <r>
    <x v="17"/>
    <d v="2026-02-01T23:51:00"/>
    <n v="23"/>
    <x v="0"/>
    <n v="25.5"/>
    <s v="Ahmedabad"/>
  </r>
  <r>
    <x v="17"/>
    <d v="2026-03-02T01:24:00"/>
    <n v="1"/>
    <x v="0"/>
    <n v="19.3"/>
    <s v="Indore"/>
  </r>
  <r>
    <x v="17"/>
    <d v="2026-03-03T19:02:00"/>
    <n v="19"/>
    <x v="2"/>
    <n v="51.1"/>
    <s v="Rajkot"/>
  </r>
  <r>
    <x v="17"/>
    <d v="2026-02-09T20:49:00"/>
    <n v="20"/>
    <x v="0"/>
    <n v="58.8"/>
    <s v="Indore"/>
  </r>
  <r>
    <x v="17"/>
    <d v="2026-03-18T19:19:00"/>
    <n v="19"/>
    <x v="3"/>
    <n v="134.9"/>
    <s v="Indore"/>
  </r>
  <r>
    <x v="17"/>
    <d v="2026-03-10T16:00:00"/>
    <n v="16"/>
    <x v="2"/>
    <n v="134.30000000000001"/>
    <s v="Ahmedabad"/>
  </r>
  <r>
    <x v="17"/>
    <d v="2026-02-23T08:39:00"/>
    <n v="8"/>
    <x v="1"/>
    <n v="35.700000000000003"/>
    <s v="Ahmedabad"/>
  </r>
  <r>
    <x v="17"/>
    <d v="2026-02-13T18:59:00"/>
    <n v="18"/>
    <x v="0"/>
    <n v="44.8"/>
    <s v="Rajkot"/>
  </r>
  <r>
    <x v="17"/>
    <d v="2026-01-25T05:21:00"/>
    <n v="5"/>
    <x v="3"/>
    <n v="114"/>
    <s v="Surat"/>
  </r>
  <r>
    <x v="18"/>
    <d v="2026-02-11T07:41:00"/>
    <n v="7"/>
    <x v="0"/>
    <n v="19.600000000000001"/>
    <s v="Rajkot"/>
  </r>
  <r>
    <x v="18"/>
    <d v="2026-03-15T11:15:00"/>
    <n v="11"/>
    <x v="0"/>
    <n v="32.6"/>
    <s v="Surat"/>
  </r>
  <r>
    <x v="18"/>
    <d v="2026-02-19T17:04:00"/>
    <n v="17"/>
    <x v="3"/>
    <n v="80.599999999999994"/>
    <s v="Indore"/>
  </r>
  <r>
    <x v="18"/>
    <d v="2026-02-17T23:25:00"/>
    <n v="23"/>
    <x v="2"/>
    <n v="100"/>
    <s v="Surat"/>
  </r>
  <r>
    <x v="18"/>
    <d v="2026-03-31T06:10:00"/>
    <n v="6"/>
    <x v="1"/>
    <n v="17.8"/>
    <s v="Indore"/>
  </r>
  <r>
    <x v="18"/>
    <d v="2026-03-19T07:58:00"/>
    <n v="7"/>
    <x v="1"/>
    <n v="18.600000000000001"/>
    <s v="Rajkot"/>
  </r>
  <r>
    <x v="18"/>
    <d v="2026-03-16T21:02:00"/>
    <n v="21"/>
    <x v="1"/>
    <n v="46.7"/>
    <s v="Indore"/>
  </r>
  <r>
    <x v="18"/>
    <d v="2026-02-06T05:12:00"/>
    <n v="5"/>
    <x v="1"/>
    <n v="48.1"/>
    <s v="Rajkot"/>
  </r>
  <r>
    <x v="18"/>
    <d v="2026-03-12T23:01:00"/>
    <n v="23"/>
    <x v="2"/>
    <n v="77.099999999999994"/>
    <s v="Ahmedabad"/>
  </r>
  <r>
    <x v="18"/>
    <d v="2026-01-07T16:25:00"/>
    <n v="16"/>
    <x v="3"/>
    <n v="75.3"/>
    <s v="Indore"/>
  </r>
  <r>
    <x v="18"/>
    <d v="2026-02-28T13:15:00"/>
    <n v="13"/>
    <x v="2"/>
    <n v="42"/>
    <s v="Surat"/>
  </r>
  <r>
    <x v="18"/>
    <d v="2026-01-23T10:16:00"/>
    <n v="10"/>
    <x v="1"/>
    <n v="33.200000000000003"/>
    <s v="Surat"/>
  </r>
  <r>
    <x v="18"/>
    <d v="2026-01-10T17:21:00"/>
    <n v="17"/>
    <x v="2"/>
    <n v="44"/>
    <s v="Rajkot"/>
  </r>
  <r>
    <x v="18"/>
    <d v="2026-02-13T13:39:00"/>
    <n v="13"/>
    <x v="0"/>
    <n v="19.7"/>
    <s v="Vadodara"/>
  </r>
  <r>
    <x v="19"/>
    <d v="2026-03-05T10:44:00"/>
    <n v="10"/>
    <x v="2"/>
    <n v="109.9"/>
    <s v="Surat"/>
  </r>
  <r>
    <x v="19"/>
    <d v="2026-02-03T16:50:00"/>
    <n v="16"/>
    <x v="2"/>
    <n v="106.6"/>
    <s v="Vadodara"/>
  </r>
  <r>
    <x v="19"/>
    <d v="2026-02-19T10:42:00"/>
    <n v="10"/>
    <x v="1"/>
    <n v="40.4"/>
    <s v="Rajkot"/>
  </r>
  <r>
    <x v="19"/>
    <d v="2026-01-13T14:58:00"/>
    <n v="14"/>
    <x v="1"/>
    <n v="39.5"/>
    <s v="Bharuch"/>
  </r>
  <r>
    <x v="19"/>
    <d v="2026-01-24T03:01:00"/>
    <n v="3"/>
    <x v="0"/>
    <n v="26.6"/>
    <s v="Surat"/>
  </r>
  <r>
    <x v="19"/>
    <d v="2026-03-09T04:14:00"/>
    <n v="4"/>
    <x v="2"/>
    <n v="40.9"/>
    <s v="Rajkot"/>
  </r>
  <r>
    <x v="19"/>
    <d v="2026-03-27T05:20:00"/>
    <n v="5"/>
    <x v="2"/>
    <n v="33.1"/>
    <s v="Vadodara"/>
  </r>
  <r>
    <x v="19"/>
    <d v="2026-01-27T06:00:00"/>
    <n v="6"/>
    <x v="2"/>
    <n v="73.3"/>
    <s v="Surat"/>
  </r>
  <r>
    <x v="19"/>
    <d v="2026-02-17T04:12:00"/>
    <n v="4"/>
    <x v="1"/>
    <n v="6.1"/>
    <s v="Vadodara"/>
  </r>
  <r>
    <x v="19"/>
    <d v="2026-02-26T01:45:00"/>
    <n v="1"/>
    <x v="2"/>
    <n v="68.099999999999994"/>
    <s v="Bharuch"/>
  </r>
  <r>
    <x v="19"/>
    <d v="2026-02-09T03:15:00"/>
    <n v="3"/>
    <x v="1"/>
    <n v="5.2"/>
    <s v="Surat"/>
  </r>
  <r>
    <x v="19"/>
    <d v="2026-02-28T16:02:00"/>
    <n v="16"/>
    <x v="1"/>
    <n v="20.6"/>
    <s v="Surat"/>
  </r>
  <r>
    <x v="19"/>
    <d v="2026-03-01T01:52:00"/>
    <n v="1"/>
    <x v="1"/>
    <n v="12.1"/>
    <s v="Indore"/>
  </r>
  <r>
    <x v="19"/>
    <d v="2026-01-09T10:27:00"/>
    <n v="10"/>
    <x v="2"/>
    <n v="57.7"/>
    <s v="Vadodara"/>
  </r>
  <r>
    <x v="20"/>
    <m/>
    <m/>
    <x v="4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">
  <r>
    <x v="0"/>
    <s v="Driver A"/>
    <d v="2026-03-29T00:00:00"/>
    <n v="346.7"/>
    <n v="74.7"/>
    <n v="4.6412315930388219"/>
    <n v="2.5"/>
    <n v="5"/>
    <n v="64.599999999999994"/>
    <n v="90.1"/>
  </r>
  <r>
    <x v="0"/>
    <s v="Driver A"/>
    <d v="2026-01-14T00:00:00"/>
    <n v="368"/>
    <n v="108.5"/>
    <n v="3.3917050691244239"/>
    <n v="3.7"/>
    <n v="8"/>
    <n v="32.299999999999997"/>
    <n v="88.7"/>
  </r>
  <r>
    <x v="0"/>
    <s v="Driver A"/>
    <d v="2026-03-10T00:00:00"/>
    <n v="126.8"/>
    <n v="43.4"/>
    <n v="2.9216589861751152"/>
    <n v="0.4"/>
    <n v="5"/>
    <n v="61.4"/>
    <n v="86.9"/>
  </r>
  <r>
    <x v="0"/>
    <s v="Driver A"/>
    <d v="2026-03-12T00:00:00"/>
    <n v="231"/>
    <n v="67.8"/>
    <n v="3.4070796460176993"/>
    <n v="3.8"/>
    <n v="2"/>
    <n v="50.8"/>
    <n v="86.8"/>
  </r>
  <r>
    <x v="0"/>
    <s v="Driver A"/>
    <d v="2026-02-15T00:00:00"/>
    <n v="372.3"/>
    <n v="108.2"/>
    <n v="3.4408502772643255"/>
    <n v="1.6"/>
    <n v="3"/>
    <n v="41.9"/>
    <n v="86.9"/>
  </r>
  <r>
    <x v="0"/>
    <s v="Driver A"/>
    <d v="2026-01-12T00:00:00"/>
    <n v="356.1"/>
    <n v="105.3"/>
    <n v="3.3817663817663819"/>
    <n v="2"/>
    <n v="6"/>
    <n v="37.1"/>
    <n v="89.7"/>
  </r>
  <r>
    <x v="0"/>
    <s v="Driver A"/>
    <d v="2026-02-23T00:00:00"/>
    <n v="99.7"/>
    <n v="24"/>
    <n v="4.1541666666666668"/>
    <n v="1.2"/>
    <n v="2"/>
    <n v="46.9"/>
    <n v="85.4"/>
  </r>
  <r>
    <x v="0"/>
    <s v="Driver A"/>
    <d v="2026-02-17T00:00:00"/>
    <n v="202.6"/>
    <n v="65.400000000000006"/>
    <n v="3.0978593272171251"/>
    <n v="2"/>
    <n v="5"/>
    <n v="65.900000000000006"/>
    <n v="95.9"/>
  </r>
  <r>
    <x v="0"/>
    <s v="Driver A"/>
    <d v="2026-03-18T00:00:00"/>
    <n v="255.6"/>
    <n v="47.2"/>
    <n v="5.4152542372881349"/>
    <n v="3.6"/>
    <n v="4"/>
    <n v="62.5"/>
    <n v="93.8"/>
  </r>
  <r>
    <x v="0"/>
    <s v="Driver A"/>
    <d v="2026-03-12T00:00:00"/>
    <n v="441.8"/>
    <n v="136.9"/>
    <n v="3.2271731190650108"/>
    <n v="3"/>
    <n v="8"/>
    <n v="51.5"/>
    <n v="88"/>
  </r>
  <r>
    <x v="0"/>
    <s v="Driver A"/>
    <d v="2026-02-13T00:00:00"/>
    <n v="372.6"/>
    <n v="86"/>
    <n v="4.3325581395348838"/>
    <n v="3.5"/>
    <n v="3"/>
    <n v="57.5"/>
    <n v="94.6"/>
  </r>
  <r>
    <x v="0"/>
    <s v="Driver A"/>
    <d v="2026-02-03T00:00:00"/>
    <n v="321.89999999999998"/>
    <n v="68.900000000000006"/>
    <n v="4.6719883889695204"/>
    <n v="0.5"/>
    <n v="2"/>
    <n v="50.9"/>
    <n v="87.4"/>
  </r>
  <r>
    <x v="0"/>
    <s v="Driver A"/>
    <d v="2026-02-20T00:00:00"/>
    <n v="174.1"/>
    <n v="62"/>
    <n v="2.8080645161290323"/>
    <n v="1.1000000000000001"/>
    <n v="2"/>
    <n v="32"/>
    <n v="90.2"/>
  </r>
  <r>
    <x v="0"/>
    <s v="Driver A"/>
    <d v="2026-01-31T00:00:00"/>
    <n v="156.30000000000001"/>
    <n v="50.9"/>
    <n v="3.0707269155206292"/>
    <n v="0.3"/>
    <n v="1"/>
    <n v="41"/>
    <n v="85.7"/>
  </r>
  <r>
    <x v="0"/>
    <s v="Driver A"/>
    <d v="2026-02-20T00:00:00"/>
    <n v="202.9"/>
    <n v="45.3"/>
    <n v="4.4790286975717439"/>
    <n v="3.7"/>
    <n v="6"/>
    <n v="49.8"/>
    <n v="91.5"/>
  </r>
  <r>
    <x v="0"/>
    <s v="Driver A"/>
    <d v="2026-01-28T00:00:00"/>
    <n v="156.1"/>
    <n v="32.299999999999997"/>
    <n v="4.8328173374613002"/>
    <n v="3.7"/>
    <n v="2"/>
    <n v="56"/>
    <n v="97"/>
  </r>
  <r>
    <x v="0"/>
    <s v="Driver A"/>
    <d v="2026-03-04T00:00:00"/>
    <n v="130.5"/>
    <n v="26.1"/>
    <n v="5"/>
    <n v="4.3"/>
    <n v="8"/>
    <n v="48.4"/>
    <n v="92.4"/>
  </r>
  <r>
    <x v="0"/>
    <s v="Driver A"/>
    <d v="2026-02-17T00:00:00"/>
    <n v="154.19999999999999"/>
    <n v="35.700000000000003"/>
    <n v="4.3193277310924367"/>
    <n v="1.5"/>
    <n v="4"/>
    <n v="50.9"/>
    <n v="93.9"/>
  </r>
  <r>
    <x v="0"/>
    <s v="Driver A"/>
    <d v="2026-03-28T00:00:00"/>
    <n v="274.2"/>
    <n v="57"/>
    <n v="4.8105263157894731"/>
    <n v="3.3"/>
    <n v="4"/>
    <n v="74"/>
    <n v="95"/>
  </r>
  <r>
    <x v="0"/>
    <s v="Driver A"/>
    <d v="2026-01-15T00:00:00"/>
    <n v="327.5"/>
    <n v="81.8"/>
    <n v="4.0036674816625917"/>
    <n v="4.0999999999999996"/>
    <n v="4"/>
    <n v="73.2"/>
    <n v="95.2"/>
  </r>
  <r>
    <x v="0"/>
    <s v="Driver A"/>
    <d v="2026-02-19T00:00:00"/>
    <n v="329.1"/>
    <n v="77.5"/>
    <n v="4.2464516129032264"/>
    <n v="3"/>
    <n v="2"/>
    <n v="64"/>
    <n v="93.8"/>
  </r>
  <r>
    <x v="0"/>
    <s v="Driver A"/>
    <d v="2026-01-12T00:00:00"/>
    <n v="384.6"/>
    <n v="94.4"/>
    <n v="4.0741525423728815"/>
    <n v="2.8"/>
    <n v="2"/>
    <n v="32.9"/>
    <n v="88.3"/>
  </r>
  <r>
    <x v="0"/>
    <s v="Driver A"/>
    <d v="2026-01-09T00:00:00"/>
    <n v="420.1"/>
    <n v="98.1"/>
    <n v="4.2823649337410812"/>
    <n v="3.3"/>
    <n v="6"/>
    <n v="45.6"/>
    <n v="97.2"/>
  </r>
  <r>
    <x v="0"/>
    <s v="Driver A"/>
    <d v="2026-01-02T00:00:00"/>
    <n v="329.4"/>
    <n v="86.1"/>
    <n v="3.8257839721254356"/>
    <n v="0.6"/>
    <n v="6"/>
    <n v="57.6"/>
    <n v="88.9"/>
  </r>
  <r>
    <x v="0"/>
    <s v="Driver A"/>
    <d v="2026-02-25T00:00:00"/>
    <n v="375.2"/>
    <n v="85"/>
    <n v="4.4141176470588235"/>
    <n v="3.6"/>
    <n v="6"/>
    <n v="38.5"/>
    <n v="98.2"/>
  </r>
  <r>
    <x v="0"/>
    <s v="Driver A"/>
    <d v="2026-01-22T00:00:00"/>
    <n v="373.9"/>
    <n v="85.4"/>
    <n v="4.3782201405152223"/>
    <n v="1.9"/>
    <n v="4"/>
    <n v="30.4"/>
    <n v="85.6"/>
  </r>
  <r>
    <x v="0"/>
    <s v="Driver A"/>
    <d v="2026-02-09T00:00:00"/>
    <n v="142.6"/>
    <n v="38.1"/>
    <n v="3.742782152230971"/>
    <n v="3.7"/>
    <n v="8"/>
    <n v="58"/>
    <n v="91.6"/>
  </r>
  <r>
    <x v="0"/>
    <s v="Driver A"/>
    <d v="2026-01-06T00:00:00"/>
    <n v="171.5"/>
    <n v="40.5"/>
    <n v="4.2345679012345681"/>
    <n v="1.6"/>
    <n v="7"/>
    <n v="63.5"/>
    <n v="85.3"/>
  </r>
  <r>
    <x v="0"/>
    <s v="Driver A"/>
    <d v="2026-02-28T00:00:00"/>
    <n v="264.10000000000002"/>
    <n v="63.7"/>
    <n v="4.1459968602825743"/>
    <n v="3.7"/>
    <n v="8"/>
    <n v="40.700000000000003"/>
    <n v="93.8"/>
  </r>
  <r>
    <x v="0"/>
    <s v="Driver A"/>
    <d v="2026-01-16T00:00:00"/>
    <n v="88.9"/>
    <n v="19.8"/>
    <n v="4.4898989898989896"/>
    <n v="0.7"/>
    <n v="4"/>
    <n v="66"/>
    <n v="100"/>
  </r>
  <r>
    <x v="0"/>
    <s v="Driver A"/>
    <d v="2026-02-13T00:00:00"/>
    <n v="443.9"/>
    <n v="98.8"/>
    <n v="4.4929149797570851"/>
    <n v="3.8"/>
    <n v="7"/>
    <n v="38.4"/>
    <n v="86.8"/>
  </r>
  <r>
    <x v="0"/>
    <s v="Driver A"/>
    <d v="2026-03-02T00:00:00"/>
    <n v="414.2"/>
    <n v="141.1"/>
    <n v="2.9355067328136073"/>
    <n v="1.8"/>
    <n v="2"/>
    <n v="49.2"/>
    <n v="87.7"/>
  </r>
  <r>
    <x v="0"/>
    <s v="Driver A"/>
    <d v="2026-01-19T00:00:00"/>
    <n v="324.5"/>
    <n v="80.7"/>
    <n v="4.0210656753407683"/>
    <n v="1.5"/>
    <n v="8"/>
    <n v="38.799999999999997"/>
    <n v="95.2"/>
  </r>
  <r>
    <x v="0"/>
    <s v="Driver A"/>
    <d v="2026-01-05T00:00:00"/>
    <n v="325.89999999999998"/>
    <n v="92.6"/>
    <n v="3.5194384449244058"/>
    <n v="3.2"/>
    <n v="7"/>
    <n v="55.9"/>
    <n v="92.7"/>
  </r>
  <r>
    <x v="0"/>
    <s v="Driver A"/>
    <d v="2026-01-23T00:00:00"/>
    <n v="314.10000000000002"/>
    <n v="59.9"/>
    <n v="5.2437395659432395"/>
    <n v="3.7"/>
    <n v="2"/>
    <n v="50.5"/>
    <n v="87.6"/>
  </r>
  <r>
    <x v="0"/>
    <s v="Driver A"/>
    <d v="2026-02-07T00:00:00"/>
    <n v="150"/>
    <n v="52.5"/>
    <n v="2.8571428571428572"/>
    <n v="3.6"/>
    <n v="6"/>
    <n v="48.5"/>
    <n v="90.1"/>
  </r>
  <r>
    <x v="0"/>
    <s v="Driver A"/>
    <d v="2026-01-01T00:00:00"/>
    <n v="250"/>
    <n v="120"/>
    <n v="2.0833333333333335"/>
    <n v="1.5"/>
    <n v="4"/>
    <n v="55"/>
    <n v="96"/>
  </r>
  <r>
    <x v="1"/>
    <s v="Driver B"/>
    <d v="2026-01-30T00:00:00"/>
    <n v="384.1"/>
    <n v="77.2"/>
    <n v="4.9753886010362693"/>
    <n v="1.9"/>
    <n v="2"/>
    <n v="39.5"/>
    <n v="99.1"/>
  </r>
  <r>
    <x v="1"/>
    <s v="Driver B"/>
    <d v="2026-03-16T00:00:00"/>
    <n v="352.2"/>
    <n v="118.8"/>
    <n v="2.9646464646464645"/>
    <n v="1.5"/>
    <n v="1"/>
    <n v="56.3"/>
    <n v="92.5"/>
  </r>
  <r>
    <x v="1"/>
    <s v="Driver B"/>
    <d v="2026-01-14T00:00:00"/>
    <n v="300.7"/>
    <n v="80.5"/>
    <n v="3.7354037267080744"/>
    <n v="3.6"/>
    <n v="7"/>
    <n v="57.3"/>
    <n v="92.7"/>
  </r>
  <r>
    <x v="1"/>
    <s v="Driver B"/>
    <d v="2026-03-03T00:00:00"/>
    <n v="393.5"/>
    <n v="99.6"/>
    <n v="3.9508032128514059"/>
    <n v="0.7"/>
    <n v="8"/>
    <n v="33.299999999999997"/>
    <n v="86.2"/>
  </r>
  <r>
    <x v="1"/>
    <s v="Driver B"/>
    <d v="2026-02-25T00:00:00"/>
    <n v="86.9"/>
    <n v="16.399999999999999"/>
    <n v="5.298780487804879"/>
    <n v="3.9"/>
    <n v="7"/>
    <n v="55.8"/>
    <n v="95.6"/>
  </r>
  <r>
    <x v="1"/>
    <s v="Driver B"/>
    <d v="2026-01-10T00:00:00"/>
    <n v="328.3"/>
    <n v="84.2"/>
    <n v="3.8990498812351544"/>
    <n v="2.4"/>
    <n v="3"/>
    <n v="72.900000000000006"/>
    <n v="87.1"/>
  </r>
  <r>
    <x v="1"/>
    <s v="Driver B"/>
    <d v="2026-03-19T00:00:00"/>
    <n v="136.80000000000001"/>
    <n v="34.1"/>
    <n v="4.0117302052785924"/>
    <n v="1.8"/>
    <n v="8"/>
    <n v="64.3"/>
    <n v="93.6"/>
  </r>
  <r>
    <x v="1"/>
    <s v="Driver B"/>
    <d v="2026-03-24T00:00:00"/>
    <n v="365.3"/>
    <n v="103.9"/>
    <n v="3.5158806544754571"/>
    <n v="1.1000000000000001"/>
    <n v="7"/>
    <n v="57.8"/>
    <n v="85.5"/>
  </r>
  <r>
    <x v="1"/>
    <s v="Driver B"/>
    <d v="2026-01-21T00:00:00"/>
    <n v="242.7"/>
    <n v="59.1"/>
    <n v="4.1065989847715736"/>
    <n v="1.1000000000000001"/>
    <n v="3"/>
    <n v="44.1"/>
    <n v="95.8"/>
  </r>
  <r>
    <x v="1"/>
    <s v="Driver B"/>
    <d v="2026-01-23T00:00:00"/>
    <n v="234.6"/>
    <n v="46.3"/>
    <n v="5.0669546436285096"/>
    <n v="4.2"/>
    <n v="1"/>
    <n v="74.900000000000006"/>
    <n v="91"/>
  </r>
  <r>
    <x v="1"/>
    <s v="Driver B"/>
    <d v="2026-02-28T00:00:00"/>
    <n v="128.80000000000001"/>
    <n v="32.799999999999997"/>
    <n v="3.9268292682926838"/>
    <n v="2.6"/>
    <n v="8"/>
    <n v="60.3"/>
    <n v="89.6"/>
  </r>
  <r>
    <x v="1"/>
    <s v="Driver B"/>
    <d v="2026-03-09T00:00:00"/>
    <n v="92.5"/>
    <n v="18.2"/>
    <n v="5.082417582417583"/>
    <n v="4.3"/>
    <n v="1"/>
    <n v="64.400000000000006"/>
    <n v="91.2"/>
  </r>
  <r>
    <x v="1"/>
    <s v="Driver B"/>
    <d v="2026-03-23T00:00:00"/>
    <n v="83.5"/>
    <n v="25.6"/>
    <n v="3.26171875"/>
    <n v="2.2999999999999998"/>
    <n v="7"/>
    <n v="59"/>
    <n v="90"/>
  </r>
  <r>
    <x v="1"/>
    <s v="Driver B"/>
    <d v="2026-01-13T00:00:00"/>
    <n v="311.7"/>
    <n v="61.6"/>
    <n v="5.0600649350649345"/>
    <n v="0.3"/>
    <n v="3"/>
    <n v="49.9"/>
    <n v="85"/>
  </r>
  <r>
    <x v="1"/>
    <s v="Driver B"/>
    <d v="2026-03-05T00:00:00"/>
    <n v="398"/>
    <n v="122.4"/>
    <n v="3.2516339869281046"/>
    <n v="0.9"/>
    <n v="2"/>
    <n v="70.2"/>
    <n v="95.1"/>
  </r>
  <r>
    <x v="1"/>
    <s v="Driver B"/>
    <d v="2026-02-21T00:00:00"/>
    <n v="105.5"/>
    <n v="26"/>
    <n v="4.0576923076923075"/>
    <n v="1.4"/>
    <n v="5"/>
    <n v="44.7"/>
    <n v="93.3"/>
  </r>
  <r>
    <x v="1"/>
    <s v="Driver B"/>
    <d v="2026-03-06T00:00:00"/>
    <n v="291.39999999999998"/>
    <n v="69.5"/>
    <n v="4.1928057553956828"/>
    <n v="2.7"/>
    <n v="3"/>
    <n v="35.4"/>
    <n v="96.4"/>
  </r>
  <r>
    <x v="1"/>
    <s v="Driver B"/>
    <d v="2026-02-01T00:00:00"/>
    <n v="92.2"/>
    <n v="31.4"/>
    <n v="2.9363057324840764"/>
    <n v="1.7"/>
    <n v="4"/>
    <n v="42.3"/>
    <n v="97.4"/>
  </r>
  <r>
    <x v="1"/>
    <s v="Driver B"/>
    <d v="2026-03-18T00:00:00"/>
    <n v="229.5"/>
    <n v="62.7"/>
    <n v="3.6602870813397126"/>
    <n v="0.8"/>
    <n v="1"/>
    <n v="59.5"/>
    <n v="100"/>
  </r>
  <r>
    <x v="1"/>
    <s v="Driver B"/>
    <d v="2026-03-12T00:00:00"/>
    <n v="426.1"/>
    <n v="84.1"/>
    <n v="5.0665873959571943"/>
    <n v="2.2999999999999998"/>
    <n v="3"/>
    <n v="61.1"/>
    <n v="87.6"/>
  </r>
  <r>
    <x v="1"/>
    <s v="Driver B"/>
    <d v="2026-01-26T00:00:00"/>
    <n v="178.8"/>
    <n v="36.299999999999997"/>
    <n v="4.9256198347107443"/>
    <n v="4.4000000000000004"/>
    <n v="5"/>
    <n v="36.6"/>
    <n v="85.9"/>
  </r>
  <r>
    <x v="1"/>
    <s v="Driver B"/>
    <d v="2026-03-27T00:00:00"/>
    <n v="156.5"/>
    <n v="29.8"/>
    <n v="5.2516778523489931"/>
    <n v="1.8"/>
    <n v="8"/>
    <n v="71.3"/>
    <n v="98.2"/>
  </r>
  <r>
    <x v="1"/>
    <s v="Driver B"/>
    <d v="2026-03-25T00:00:00"/>
    <n v="199.9"/>
    <n v="42.5"/>
    <n v="4.7035294117647064"/>
    <n v="2.4"/>
    <n v="5"/>
    <n v="67.599999999999994"/>
    <n v="88.9"/>
  </r>
  <r>
    <x v="1"/>
    <s v="Driver B"/>
    <d v="2026-03-31T00:00:00"/>
    <n v="276"/>
    <n v="80.7"/>
    <n v="3.4200743494423791"/>
    <n v="3.6"/>
    <n v="7"/>
    <n v="45.8"/>
    <n v="97.1"/>
  </r>
  <r>
    <x v="1"/>
    <s v="Driver B"/>
    <d v="2026-01-28T00:00:00"/>
    <n v="381.1"/>
    <n v="93.3"/>
    <n v="4.084673097534834"/>
    <n v="2.9"/>
    <n v="8"/>
    <n v="63.5"/>
    <n v="88.9"/>
  </r>
  <r>
    <x v="1"/>
    <s v="Driver B"/>
    <d v="2026-01-17T00:00:00"/>
    <n v="146.1"/>
    <n v="50.7"/>
    <n v="2.8816568047337277"/>
    <n v="0.7"/>
    <n v="4"/>
    <n v="34.4"/>
    <n v="93.6"/>
  </r>
  <r>
    <x v="1"/>
    <s v="Driver B"/>
    <d v="2026-01-10T00:00:00"/>
    <n v="388.7"/>
    <n v="129.1"/>
    <n v="3.0108443067389623"/>
    <n v="1.1000000000000001"/>
    <n v="2"/>
    <n v="34.6"/>
    <n v="88.5"/>
  </r>
  <r>
    <x v="1"/>
    <s v="Driver B"/>
    <d v="2026-02-06T00:00:00"/>
    <n v="300.39999999999998"/>
    <n v="71.599999999999994"/>
    <n v="4.1955307262569832"/>
    <n v="4.5"/>
    <n v="5"/>
    <n v="30.3"/>
    <n v="99.8"/>
  </r>
  <r>
    <x v="1"/>
    <s v="Driver B"/>
    <d v="2026-02-01T00:00:00"/>
    <n v="271.89999999999998"/>
    <n v="70.3"/>
    <n v="3.8677098150782361"/>
    <n v="3.4"/>
    <n v="7"/>
    <n v="53.2"/>
    <n v="94.5"/>
  </r>
  <r>
    <x v="1"/>
    <s v="Driver B"/>
    <d v="2026-01-25T00:00:00"/>
    <n v="187.7"/>
    <n v="48.4"/>
    <n v="3.8780991735537187"/>
    <n v="1.5"/>
    <n v="5"/>
    <n v="50.8"/>
    <n v="91.3"/>
  </r>
  <r>
    <x v="1"/>
    <s v="Driver B"/>
    <d v="2026-02-13T00:00:00"/>
    <n v="444.1"/>
    <n v="82.1"/>
    <n v="5.4092570036540808"/>
    <n v="2.8"/>
    <n v="3"/>
    <n v="67.7"/>
    <n v="96.3"/>
  </r>
  <r>
    <x v="1"/>
    <s v="Driver B"/>
    <d v="2026-03-24T00:00:00"/>
    <n v="177.8"/>
    <n v="35.5"/>
    <n v="5.0084507042253525"/>
    <n v="0.4"/>
    <n v="8"/>
    <n v="47.9"/>
    <n v="89.5"/>
  </r>
  <r>
    <x v="1"/>
    <s v="Driver B"/>
    <d v="2026-01-07T00:00:00"/>
    <n v="318.60000000000002"/>
    <n v="89.3"/>
    <n v="3.5677491601343787"/>
    <n v="2.1"/>
    <n v="6"/>
    <n v="57.8"/>
    <n v="98.4"/>
  </r>
  <r>
    <x v="1"/>
    <s v="Driver B"/>
    <d v="2026-02-07T00:00:00"/>
    <n v="187.9"/>
    <n v="41.5"/>
    <n v="4.5277108433734945"/>
    <n v="0.5"/>
    <n v="4"/>
    <n v="64.5"/>
    <n v="87.7"/>
  </r>
  <r>
    <x v="1"/>
    <s v="Driver B"/>
    <d v="2026-01-02T00:00:00"/>
    <n v="150"/>
    <n v="25"/>
    <n v="6"/>
    <n v="12"/>
    <n v="3"/>
    <n v="20"/>
    <n v="92"/>
  </r>
  <r>
    <x v="2"/>
    <s v="Driver C"/>
    <d v="2026-03-17T00:00:00"/>
    <n v="236.1"/>
    <n v="82"/>
    <n v="2.8792682926829269"/>
    <n v="1.1000000000000001"/>
    <n v="1"/>
    <n v="55.3"/>
    <n v="95.7"/>
  </r>
  <r>
    <x v="2"/>
    <s v="Driver C"/>
    <d v="2026-03-23T00:00:00"/>
    <n v="236.7"/>
    <n v="66.7"/>
    <n v="3.5487256371814091"/>
    <n v="0.2"/>
    <n v="3"/>
    <n v="58.7"/>
    <n v="88.9"/>
  </r>
  <r>
    <x v="2"/>
    <s v="Driver C"/>
    <d v="2026-02-28T00:00:00"/>
    <n v="233.3"/>
    <n v="51.8"/>
    <n v="4.5038610038610045"/>
    <n v="1"/>
    <n v="7"/>
    <n v="52.2"/>
    <n v="88.7"/>
  </r>
  <r>
    <x v="2"/>
    <s v="Driver C"/>
    <d v="2026-02-06T00:00:00"/>
    <n v="166.8"/>
    <n v="45"/>
    <n v="3.706666666666667"/>
    <n v="4"/>
    <n v="2"/>
    <n v="36.200000000000003"/>
    <n v="88.5"/>
  </r>
  <r>
    <x v="2"/>
    <s v="Driver C"/>
    <d v="2026-03-25T00:00:00"/>
    <n v="94.9"/>
    <n v="32.9"/>
    <n v="2.8844984802431615"/>
    <n v="1.3"/>
    <n v="1"/>
    <n v="58"/>
    <n v="88.6"/>
  </r>
  <r>
    <x v="2"/>
    <s v="Driver C"/>
    <d v="2026-03-18T00:00:00"/>
    <n v="94.7"/>
    <n v="23.9"/>
    <n v="3.96234309623431"/>
    <n v="1.6"/>
    <n v="5"/>
    <n v="31.2"/>
    <n v="88.4"/>
  </r>
  <r>
    <x v="2"/>
    <s v="Driver C"/>
    <d v="2026-03-02T00:00:00"/>
    <n v="208.7"/>
    <n v="56.4"/>
    <n v="3.7003546099290778"/>
    <n v="3.1"/>
    <n v="3"/>
    <n v="44.8"/>
    <n v="95.4"/>
  </r>
  <r>
    <x v="2"/>
    <s v="Driver C"/>
    <d v="2026-03-02T00:00:00"/>
    <n v="369.2"/>
    <n v="105"/>
    <n v="3.5161904761904759"/>
    <n v="2.9"/>
    <n v="7"/>
    <n v="59.2"/>
    <n v="97.8"/>
  </r>
  <r>
    <x v="2"/>
    <s v="Driver C"/>
    <d v="2026-01-31T00:00:00"/>
    <n v="313.5"/>
    <n v="59.3"/>
    <n v="5.2866779089376053"/>
    <n v="4.5"/>
    <n v="2"/>
    <n v="49.5"/>
    <n v="86.5"/>
  </r>
  <r>
    <x v="2"/>
    <s v="Driver C"/>
    <d v="2026-02-25T00:00:00"/>
    <n v="115.7"/>
    <n v="24.1"/>
    <n v="4.800829875518672"/>
    <n v="3.7"/>
    <n v="1"/>
    <n v="56.4"/>
    <n v="93.4"/>
  </r>
  <r>
    <x v="2"/>
    <s v="Driver C"/>
    <d v="2026-02-25T00:00:00"/>
    <n v="392.5"/>
    <n v="113.5"/>
    <n v="3.4581497797356828"/>
    <n v="2.7"/>
    <n v="2"/>
    <n v="47.8"/>
    <n v="89.7"/>
  </r>
  <r>
    <x v="2"/>
    <s v="Driver C"/>
    <d v="2026-02-09T00:00:00"/>
    <n v="250.8"/>
    <n v="86.4"/>
    <n v="2.9027777777777777"/>
    <n v="1.8"/>
    <n v="5"/>
    <n v="33.5"/>
    <n v="98"/>
  </r>
  <r>
    <x v="2"/>
    <s v="Driver C"/>
    <d v="2026-03-20T00:00:00"/>
    <n v="299.8"/>
    <n v="78.099999999999994"/>
    <n v="3.8386683738796421"/>
    <n v="2.7"/>
    <n v="1"/>
    <n v="50.2"/>
    <n v="97.1"/>
  </r>
  <r>
    <x v="2"/>
    <s v="Driver C"/>
    <d v="2026-02-11T00:00:00"/>
    <n v="324.5"/>
    <n v="89.5"/>
    <n v="3.6256983240223462"/>
    <n v="2.8"/>
    <n v="7"/>
    <n v="37.5"/>
    <n v="91.7"/>
  </r>
  <r>
    <x v="2"/>
    <s v="Driver C"/>
    <d v="2026-02-14T00:00:00"/>
    <n v="421.9"/>
    <n v="92.3"/>
    <n v="4.5709642470205853"/>
    <n v="3.4"/>
    <n v="4"/>
    <n v="39.1"/>
    <n v="93.1"/>
  </r>
  <r>
    <x v="2"/>
    <s v="Driver C"/>
    <d v="2026-03-11T00:00:00"/>
    <n v="447.8"/>
    <n v="84.1"/>
    <n v="5.3246135552913207"/>
    <n v="0.5"/>
    <n v="8"/>
    <n v="31.4"/>
    <n v="91.1"/>
  </r>
  <r>
    <x v="2"/>
    <s v="Driver C"/>
    <d v="2026-03-25T00:00:00"/>
    <n v="446.9"/>
    <n v="98.1"/>
    <n v="4.5555555555555554"/>
    <n v="0.3"/>
    <n v="7"/>
    <n v="47.1"/>
    <n v="93.3"/>
  </r>
  <r>
    <x v="2"/>
    <s v="Driver C"/>
    <d v="2026-02-13T00:00:00"/>
    <n v="303.89999999999998"/>
    <n v="68.2"/>
    <n v="4.4560117302052777"/>
    <n v="2.8"/>
    <n v="6"/>
    <n v="31.3"/>
    <n v="89.1"/>
  </r>
  <r>
    <x v="2"/>
    <s v="Driver C"/>
    <d v="2026-03-21T00:00:00"/>
    <n v="189.3"/>
    <n v="54.6"/>
    <n v="3.4670329670329672"/>
    <n v="0.5"/>
    <n v="5"/>
    <n v="36.9"/>
    <n v="95.7"/>
  </r>
  <r>
    <x v="2"/>
    <s v="Driver C"/>
    <d v="2026-03-13T00:00:00"/>
    <n v="414.9"/>
    <n v="76.3"/>
    <n v="5.4377457404980341"/>
    <n v="2.7"/>
    <n v="3"/>
    <n v="60.8"/>
    <n v="87.5"/>
  </r>
  <r>
    <x v="2"/>
    <s v="Driver C"/>
    <d v="2026-02-16T00:00:00"/>
    <n v="173.1"/>
    <n v="49.9"/>
    <n v="3.4689378757515028"/>
    <n v="2.9"/>
    <n v="4"/>
    <n v="50.6"/>
    <n v="87"/>
  </r>
  <r>
    <x v="2"/>
    <s v="Driver C"/>
    <d v="2026-01-15T00:00:00"/>
    <n v="387.6"/>
    <n v="81.2"/>
    <n v="4.7733990147783256"/>
    <n v="1.7"/>
    <n v="6"/>
    <n v="50.5"/>
    <n v="88.1"/>
  </r>
  <r>
    <x v="2"/>
    <s v="Driver C"/>
    <d v="2026-02-21T00:00:00"/>
    <n v="270.8"/>
    <n v="76.3"/>
    <n v="3.5491480996068154"/>
    <n v="4.2"/>
    <n v="6"/>
    <n v="50.5"/>
    <n v="92.3"/>
  </r>
  <r>
    <x v="2"/>
    <s v="Driver C"/>
    <d v="2026-03-10T00:00:00"/>
    <n v="227.2"/>
    <n v="42"/>
    <n v="5.409523809523809"/>
    <n v="3.7"/>
    <n v="8"/>
    <n v="42.1"/>
    <n v="97.4"/>
  </r>
  <r>
    <x v="2"/>
    <s v="Driver C"/>
    <d v="2026-03-16T00:00:00"/>
    <n v="115.4"/>
    <n v="36.5"/>
    <n v="3.1616438356164385"/>
    <n v="3.7"/>
    <n v="2"/>
    <n v="56.6"/>
    <n v="85.9"/>
  </r>
  <r>
    <x v="2"/>
    <s v="Driver C"/>
    <d v="2026-03-16T00:00:00"/>
    <n v="296.89999999999998"/>
    <n v="56.3"/>
    <n v="5.2735346358792183"/>
    <n v="0.5"/>
    <n v="2"/>
    <n v="38.9"/>
    <n v="94.7"/>
  </r>
  <r>
    <x v="2"/>
    <s v="Driver C"/>
    <d v="2026-02-17T00:00:00"/>
    <n v="340.7"/>
    <n v="74.3"/>
    <n v="4.5854643337819647"/>
    <n v="2.7"/>
    <n v="6"/>
    <n v="43.6"/>
    <n v="87"/>
  </r>
  <r>
    <x v="2"/>
    <s v="Driver C"/>
    <d v="2026-02-13T00:00:00"/>
    <n v="299.8"/>
    <n v="67.3"/>
    <n v="4.4546805349182765"/>
    <n v="2.2999999999999998"/>
    <n v="1"/>
    <n v="49.4"/>
    <n v="94.8"/>
  </r>
  <r>
    <x v="2"/>
    <s v="Driver C"/>
    <d v="2026-01-29T00:00:00"/>
    <n v="211.5"/>
    <n v="44"/>
    <n v="4.8068181818181817"/>
    <n v="1.5"/>
    <n v="6"/>
    <n v="46.7"/>
    <n v="93.8"/>
  </r>
  <r>
    <x v="2"/>
    <s v="Driver C"/>
    <d v="2026-01-17T00:00:00"/>
    <n v="307.39999999999998"/>
    <n v="68.2"/>
    <n v="4.5073313782991198"/>
    <n v="1.9"/>
    <n v="8"/>
    <n v="47.2"/>
    <n v="85.6"/>
  </r>
  <r>
    <x v="2"/>
    <s v="Driver C"/>
    <d v="2026-01-06T00:00:00"/>
    <n v="190.3"/>
    <n v="53.1"/>
    <n v="3.5838041431261773"/>
    <n v="3.3"/>
    <n v="6"/>
    <n v="49.5"/>
    <n v="95.3"/>
  </r>
  <r>
    <x v="2"/>
    <s v="Driver C"/>
    <d v="2026-03-15T00:00:00"/>
    <n v="384"/>
    <n v="73"/>
    <n v="5.2602739726027394"/>
    <n v="2"/>
    <n v="8"/>
    <n v="58.4"/>
    <n v="91.5"/>
  </r>
  <r>
    <x v="2"/>
    <s v="Driver C"/>
    <d v="2026-02-15T00:00:00"/>
    <n v="423.4"/>
    <n v="137.19999999999999"/>
    <n v="3.0860058309037903"/>
    <n v="3.6"/>
    <n v="5"/>
    <n v="57.3"/>
    <n v="89.2"/>
  </r>
  <r>
    <x v="2"/>
    <s v="Driver C"/>
    <d v="2026-01-30T00:00:00"/>
    <n v="219.9"/>
    <n v="69.7"/>
    <n v="3.1549497847919654"/>
    <n v="0.3"/>
    <n v="7"/>
    <n v="67.2"/>
    <n v="94.1"/>
  </r>
  <r>
    <x v="2"/>
    <s v="Driver C"/>
    <d v="2026-03-19T00:00:00"/>
    <n v="94"/>
    <n v="24.5"/>
    <n v="3.8367346938775508"/>
    <n v="4.4000000000000004"/>
    <n v="5"/>
    <n v="62"/>
    <n v="94"/>
  </r>
  <r>
    <x v="2"/>
    <s v="Driver C"/>
    <d v="2026-03-28T00:00:00"/>
    <n v="433.6"/>
    <n v="105"/>
    <n v="4.1295238095238096"/>
    <n v="0.2"/>
    <n v="1"/>
    <n v="68.2"/>
    <n v="90.6"/>
  </r>
  <r>
    <x v="2"/>
    <s v="Driver C"/>
    <d v="2026-03-25T00:00:00"/>
    <n v="424.7"/>
    <n v="110.2"/>
    <n v="3.8539019963702357"/>
    <n v="1.2"/>
    <n v="5"/>
    <n v="49.9"/>
    <n v="86.9"/>
  </r>
  <r>
    <x v="2"/>
    <s v="Driver C"/>
    <d v="2026-02-26T00:00:00"/>
    <n v="193.9"/>
    <n v="49.6"/>
    <n v="3.909274193548387"/>
    <n v="0.9"/>
    <n v="1"/>
    <n v="30"/>
    <n v="97.2"/>
  </r>
  <r>
    <x v="2"/>
    <s v="Driver C"/>
    <d v="2026-01-02T00:00:00"/>
    <n v="424.2"/>
    <n v="126.1"/>
    <n v="3.3639968279143537"/>
    <n v="2.2999999999999998"/>
    <n v="2"/>
    <n v="51.1"/>
    <n v="94.6"/>
  </r>
  <r>
    <x v="2"/>
    <s v="Driver C"/>
    <d v="2026-02-18T00:00:00"/>
    <n v="272.7"/>
    <n v="58.9"/>
    <n v="4.6298811544991514"/>
    <n v="4"/>
    <n v="4"/>
    <n v="48.8"/>
    <n v="93.6"/>
  </r>
  <r>
    <x v="2"/>
    <s v="Driver C"/>
    <d v="2026-03-16T00:00:00"/>
    <n v="83"/>
    <n v="15.2"/>
    <n v="5.4605263157894743"/>
    <n v="1.9"/>
    <n v="3"/>
    <n v="68.400000000000006"/>
    <n v="85.9"/>
  </r>
  <r>
    <x v="2"/>
    <s v="Driver C"/>
    <d v="2026-02-16T00:00:00"/>
    <n v="277.8"/>
    <n v="51.5"/>
    <n v="5.3941747572815535"/>
    <n v="0.5"/>
    <n v="8"/>
    <n v="64.2"/>
    <n v="89.3"/>
  </r>
  <r>
    <x v="2"/>
    <s v="Driver C"/>
    <d v="2026-01-03T00:00:00"/>
    <n v="257.5"/>
    <n v="71.099999999999994"/>
    <n v="3.6216596343178624"/>
    <n v="3.2"/>
    <n v="1"/>
    <n v="73.900000000000006"/>
    <n v="92"/>
  </r>
  <r>
    <x v="2"/>
    <s v="Driver C"/>
    <d v="2026-01-25T00:00:00"/>
    <n v="410"/>
    <n v="101.6"/>
    <n v="4.0354330708661417"/>
    <n v="0.5"/>
    <n v="3"/>
    <n v="43"/>
    <n v="99.3"/>
  </r>
  <r>
    <x v="2"/>
    <s v="Driver C"/>
    <d v="2026-01-28T00:00:00"/>
    <n v="349.3"/>
    <n v="87.3"/>
    <n v="4.0011454753722795"/>
    <n v="4.5"/>
    <n v="8"/>
    <n v="43"/>
    <n v="97.1"/>
  </r>
  <r>
    <x v="2"/>
    <s v="Driver C"/>
    <d v="2026-03-18T00:00:00"/>
    <n v="355.9"/>
    <n v="81.5"/>
    <n v="4.3668711656441719"/>
    <n v="2.6"/>
    <n v="5"/>
    <n v="58.3"/>
    <n v="92.1"/>
  </r>
  <r>
    <x v="2"/>
    <s v="Driver C"/>
    <d v="2026-01-03T00:00:00"/>
    <n v="400"/>
    <n v="15"/>
    <n v="26.666666666666668"/>
    <n v="1"/>
    <n v="5"/>
    <n v="60"/>
    <n v="98"/>
  </r>
  <r>
    <x v="2"/>
    <s v="Driver C"/>
    <d v="2026-03-17T00:00:00"/>
    <n v="236.1"/>
    <n v="82"/>
    <n v="2.8792682926829269"/>
    <n v="1.1000000000000001"/>
    <n v="1"/>
    <n v="55.3"/>
    <n v="95.7"/>
  </r>
  <r>
    <x v="3"/>
    <s v="Driver D"/>
    <d v="2026-01-04T00:00:00"/>
    <n v="354.4"/>
    <n v="102.4"/>
    <n v="3.4609374999999996"/>
    <n v="0.8"/>
    <n v="2"/>
    <n v="60.5"/>
    <n v="98.4"/>
  </r>
  <r>
    <x v="3"/>
    <s v="Driver D"/>
    <d v="2026-01-08T00:00:00"/>
    <n v="229"/>
    <n v="61.6"/>
    <n v="3.7175324675324672"/>
    <n v="3.9"/>
    <n v="4"/>
    <n v="38.6"/>
    <n v="93"/>
  </r>
  <r>
    <x v="3"/>
    <s v="Driver D"/>
    <d v="2026-01-10T00:00:00"/>
    <n v="278.89999999999998"/>
    <n v="66.900000000000006"/>
    <n v="4.1689088191330335"/>
    <n v="0.8"/>
    <n v="6"/>
    <n v="69.599999999999994"/>
    <n v="98.2"/>
  </r>
  <r>
    <x v="3"/>
    <s v="Driver D"/>
    <d v="2026-01-18T00:00:00"/>
    <n v="177.9"/>
    <n v="34.200000000000003"/>
    <n v="5.2017543859649118"/>
    <n v="3.4"/>
    <n v="3"/>
    <n v="42.3"/>
    <n v="94.1"/>
  </r>
  <r>
    <x v="3"/>
    <s v="Driver D"/>
    <d v="2026-02-28T00:00:00"/>
    <n v="129.30000000000001"/>
    <n v="31.9"/>
    <n v="4.0532915360501569"/>
    <n v="2.5"/>
    <n v="6"/>
    <n v="72.8"/>
    <n v="98.4"/>
  </r>
  <r>
    <x v="3"/>
    <s v="Driver D"/>
    <d v="2026-02-21T00:00:00"/>
    <n v="400"/>
    <n v="79.599999999999994"/>
    <n v="5.025125628140704"/>
    <n v="0.2"/>
    <n v="8"/>
    <n v="48.6"/>
    <n v="87.8"/>
  </r>
  <r>
    <x v="3"/>
    <s v="Driver D"/>
    <d v="2026-02-26T00:00:00"/>
    <n v="141.6"/>
    <n v="39.200000000000003"/>
    <n v="3.6122448979591835"/>
    <n v="0.3"/>
    <n v="6"/>
    <n v="65.8"/>
    <n v="89.4"/>
  </r>
  <r>
    <x v="3"/>
    <s v="Driver D"/>
    <d v="2026-02-14T00:00:00"/>
    <n v="392.8"/>
    <n v="103.6"/>
    <n v="3.7915057915057919"/>
    <n v="3.5"/>
    <n v="4"/>
    <n v="66.3"/>
    <n v="97.7"/>
  </r>
  <r>
    <x v="3"/>
    <s v="Driver D"/>
    <d v="2026-03-25T00:00:00"/>
    <n v="204.1"/>
    <n v="63.9"/>
    <n v="3.1940532081377153"/>
    <n v="0.4"/>
    <n v="8"/>
    <n v="61.3"/>
    <n v="87.1"/>
  </r>
  <r>
    <x v="3"/>
    <s v="Driver D"/>
    <d v="2026-03-16T00:00:00"/>
    <n v="352"/>
    <n v="95.2"/>
    <n v="3.6974789915966384"/>
    <n v="0.4"/>
    <n v="6"/>
    <n v="66.599999999999994"/>
    <n v="87.6"/>
  </r>
  <r>
    <x v="3"/>
    <s v="Driver D"/>
    <d v="2026-02-25T00:00:00"/>
    <n v="129.6"/>
    <n v="36.9"/>
    <n v="3.5121951219512195"/>
    <n v="1.8"/>
    <n v="7"/>
    <n v="46.5"/>
    <n v="91"/>
  </r>
  <r>
    <x v="3"/>
    <s v="Driver D"/>
    <d v="2026-02-12T00:00:00"/>
    <n v="185.3"/>
    <n v="33.9"/>
    <n v="5.4660766961651923"/>
    <n v="2.5"/>
    <n v="8"/>
    <n v="70"/>
    <n v="87"/>
  </r>
  <r>
    <x v="3"/>
    <s v="Driver D"/>
    <d v="2026-01-13T00:00:00"/>
    <n v="274"/>
    <n v="79.400000000000006"/>
    <n v="3.4508816120906798"/>
    <n v="2.9"/>
    <n v="5"/>
    <n v="66.7"/>
    <n v="89"/>
  </r>
  <r>
    <x v="3"/>
    <s v="Driver D"/>
    <d v="2026-03-09T00:00:00"/>
    <n v="420.1"/>
    <n v="122.8"/>
    <n v="3.421009771986971"/>
    <n v="4.0999999999999996"/>
    <n v="8"/>
    <n v="42.2"/>
    <n v="98.9"/>
  </r>
  <r>
    <x v="3"/>
    <s v="Driver D"/>
    <d v="2026-01-17T00:00:00"/>
    <n v="112.3"/>
    <n v="28.3"/>
    <n v="3.968197879858657"/>
    <n v="2.6"/>
    <n v="7"/>
    <n v="34.6"/>
    <n v="86.3"/>
  </r>
  <r>
    <x v="3"/>
    <s v="Driver D"/>
    <d v="2026-01-03T00:00:00"/>
    <n v="394.2"/>
    <n v="86.6"/>
    <n v="4.5519630484988456"/>
    <n v="3.1"/>
    <n v="3"/>
    <n v="71.8"/>
    <n v="96.1"/>
  </r>
  <r>
    <x v="3"/>
    <s v="Driver D"/>
    <d v="2026-02-04T00:00:00"/>
    <n v="366.8"/>
    <n v="73"/>
    <n v="5.0246575342465754"/>
    <n v="1.8"/>
    <n v="1"/>
    <n v="64.2"/>
    <n v="91.6"/>
  </r>
  <r>
    <x v="3"/>
    <s v="Driver D"/>
    <d v="2026-01-30T00:00:00"/>
    <n v="354.1"/>
    <n v="126.2"/>
    <n v="2.8058637083993663"/>
    <n v="3.9"/>
    <n v="1"/>
    <n v="41"/>
    <n v="92.1"/>
  </r>
  <r>
    <x v="3"/>
    <s v="Driver D"/>
    <d v="2026-01-12T00:00:00"/>
    <n v="138.30000000000001"/>
    <n v="29.7"/>
    <n v="4.6565656565656575"/>
    <n v="3.8"/>
    <n v="1"/>
    <n v="39.700000000000003"/>
    <n v="97.8"/>
  </r>
  <r>
    <x v="3"/>
    <s v="Driver D"/>
    <d v="2026-01-10T00:00:00"/>
    <n v="206.5"/>
    <n v="39.700000000000003"/>
    <n v="5.2015113350125937"/>
    <n v="0.9"/>
    <n v="2"/>
    <n v="54.6"/>
    <n v="98.5"/>
  </r>
  <r>
    <x v="3"/>
    <s v="Driver D"/>
    <d v="2026-01-11T00:00:00"/>
    <n v="327.2"/>
    <n v="65.7"/>
    <n v="4.9802130898021302"/>
    <n v="2"/>
    <n v="4"/>
    <n v="54.9"/>
    <n v="97.6"/>
  </r>
  <r>
    <x v="3"/>
    <s v="Driver D"/>
    <d v="2026-02-06T00:00:00"/>
    <n v="401"/>
    <n v="77.5"/>
    <n v="5.1741935483870964"/>
    <n v="4"/>
    <n v="5"/>
    <n v="47.2"/>
    <n v="92.3"/>
  </r>
  <r>
    <x v="3"/>
    <s v="Driver D"/>
    <d v="2026-03-29T00:00:00"/>
    <n v="221.2"/>
    <n v="61.3"/>
    <n v="3.6084828711256116"/>
    <n v="0.4"/>
    <n v="3"/>
    <n v="36.200000000000003"/>
    <n v="88"/>
  </r>
  <r>
    <x v="3"/>
    <s v="Driver D"/>
    <d v="2026-03-25T00:00:00"/>
    <n v="389.4"/>
    <n v="132.9"/>
    <n v="2.9300225733634306"/>
    <n v="0.7"/>
    <n v="8"/>
    <n v="47.1"/>
    <n v="93.2"/>
  </r>
  <r>
    <x v="3"/>
    <s v="Driver D"/>
    <d v="2026-02-20T00:00:00"/>
    <n v="159.80000000000001"/>
    <n v="31.8"/>
    <n v="5.0251572327044025"/>
    <n v="1"/>
    <n v="6"/>
    <n v="34.799999999999997"/>
    <n v="91.2"/>
  </r>
  <r>
    <x v="3"/>
    <s v="Driver D"/>
    <d v="2026-01-22T00:00:00"/>
    <n v="439.5"/>
    <n v="89.9"/>
    <n v="4.8887652947719689"/>
    <n v="2.5"/>
    <n v="2"/>
    <n v="39.5"/>
    <n v="94.4"/>
  </r>
  <r>
    <x v="3"/>
    <s v="Driver D"/>
    <d v="2026-01-28T00:00:00"/>
    <n v="268.10000000000002"/>
    <n v="54.5"/>
    <n v="4.9192660550458722"/>
    <n v="3.6"/>
    <n v="1"/>
    <n v="37.200000000000003"/>
    <n v="99.5"/>
  </r>
  <r>
    <x v="3"/>
    <s v="Driver D"/>
    <d v="2026-03-13T00:00:00"/>
    <n v="106.8"/>
    <n v="29.7"/>
    <n v="3.595959595959596"/>
    <n v="4.3"/>
    <n v="5"/>
    <n v="69.400000000000006"/>
    <n v="97.2"/>
  </r>
  <r>
    <x v="3"/>
    <s v="Driver D"/>
    <d v="2026-02-06T00:00:00"/>
    <n v="179.6"/>
    <n v="38"/>
    <n v="4.7263157894736842"/>
    <n v="3.3"/>
    <n v="4"/>
    <n v="34.1"/>
    <n v="85.2"/>
  </r>
  <r>
    <x v="3"/>
    <s v="Driver D"/>
    <d v="2026-03-23T00:00:00"/>
    <n v="293.3"/>
    <n v="63.5"/>
    <n v="4.6188976377952757"/>
    <n v="3.2"/>
    <n v="7"/>
    <n v="69.7"/>
    <n v="87.5"/>
  </r>
  <r>
    <x v="3"/>
    <s v="Driver D"/>
    <d v="2026-01-30T00:00:00"/>
    <n v="356.6"/>
    <n v="70"/>
    <n v="5.0942857142857143"/>
    <n v="4.2"/>
    <n v="7"/>
    <n v="32.4"/>
    <n v="92.9"/>
  </r>
  <r>
    <x v="3"/>
    <s v="Driver D"/>
    <d v="2026-02-10T00:00:00"/>
    <n v="259.3"/>
    <n v="58.8"/>
    <n v="4.4098639455782314"/>
    <n v="0.6"/>
    <n v="4"/>
    <n v="52.5"/>
    <n v="91.9"/>
  </r>
  <r>
    <x v="3"/>
    <s v="Driver D"/>
    <d v="2026-03-08T00:00:00"/>
    <n v="363.5"/>
    <n v="75.5"/>
    <n v="4.814569536423841"/>
    <n v="0.3"/>
    <n v="5"/>
    <n v="58.7"/>
    <n v="88.1"/>
  </r>
  <r>
    <x v="3"/>
    <s v="Driver D"/>
    <d v="2026-01-02T00:00:00"/>
    <n v="434.6"/>
    <n v="100.8"/>
    <n v="4.3115079365079367"/>
    <n v="0.6"/>
    <n v="6"/>
    <n v="54.7"/>
    <n v="89.1"/>
  </r>
  <r>
    <x v="3"/>
    <s v="Driver D"/>
    <d v="2026-01-05T00:00:00"/>
    <n v="107"/>
    <n v="24.6"/>
    <n v="4.3495934959349594"/>
    <n v="1.3"/>
    <n v="8"/>
    <n v="30.8"/>
    <n v="92.5"/>
  </r>
  <r>
    <x v="3"/>
    <s v="Driver D"/>
    <d v="2026-01-10T00:00:00"/>
    <n v="411.2"/>
    <n v="86.6"/>
    <n v="4.7482678983833724"/>
    <n v="2.7"/>
    <n v="6"/>
    <n v="48.9"/>
    <n v="96.2"/>
  </r>
  <r>
    <x v="3"/>
    <s v="Driver D"/>
    <d v="2026-01-22T00:00:00"/>
    <n v="182.1"/>
    <n v="38.9"/>
    <n v="4.6812339331619537"/>
    <n v="2.2999999999999998"/>
    <n v="4"/>
    <n v="53.4"/>
    <n v="94.4"/>
  </r>
  <r>
    <x v="3"/>
    <s v="Driver D"/>
    <d v="2026-02-17T00:00:00"/>
    <n v="269.60000000000002"/>
    <n v="61.9"/>
    <n v="4.3554119547657519"/>
    <n v="3.8"/>
    <n v="3"/>
    <n v="56.2"/>
    <n v="87.2"/>
  </r>
  <r>
    <x v="3"/>
    <s v="Driver D"/>
    <d v="2026-03-18T00:00:00"/>
    <n v="358.5"/>
    <n v="84"/>
    <n v="4.2678571428571432"/>
    <n v="4"/>
    <n v="5"/>
    <n v="42.2"/>
    <n v="95.5"/>
  </r>
  <r>
    <x v="3"/>
    <s v="Driver D"/>
    <d v="2026-01-04T00:00:00"/>
    <n v="220"/>
    <n v="55"/>
    <n v="4"/>
    <n v="2"/>
    <n v="4"/>
    <n v="50"/>
    <n v="40"/>
  </r>
  <r>
    <x v="3"/>
    <s v="Driver D"/>
    <d v="2026-01-04T00:00:00"/>
    <n v="354.4"/>
    <n v="102.4"/>
    <n v="3.4609374999999996"/>
    <n v="0.8"/>
    <n v="2"/>
    <n v="60.5"/>
    <n v="98.4"/>
  </r>
  <r>
    <x v="4"/>
    <s v="Driver E"/>
    <d v="2026-03-07T00:00:00"/>
    <n v="262.60000000000002"/>
    <n v="54.2"/>
    <n v="4.8450184501845017"/>
    <n v="3.9"/>
    <n v="3"/>
    <n v="58.2"/>
    <n v="96.9"/>
  </r>
  <r>
    <x v="4"/>
    <s v="Driver E"/>
    <d v="2026-02-24T00:00:00"/>
    <n v="147.9"/>
    <n v="36.5"/>
    <n v="4.0520547945205481"/>
    <n v="4"/>
    <n v="2"/>
    <n v="49.9"/>
    <n v="97.9"/>
  </r>
  <r>
    <x v="4"/>
    <s v="Driver E"/>
    <d v="2026-01-28T00:00:00"/>
    <n v="103.8"/>
    <n v="26.6"/>
    <n v="3.9022556390977439"/>
    <n v="2.5"/>
    <n v="7"/>
    <n v="32.799999999999997"/>
    <n v="97.5"/>
  </r>
  <r>
    <x v="4"/>
    <s v="Driver E"/>
    <d v="2026-02-25T00:00:00"/>
    <n v="145.19999999999999"/>
    <n v="34.5"/>
    <n v="4.2086956521739127"/>
    <n v="3"/>
    <n v="8"/>
    <n v="50.9"/>
    <n v="97.4"/>
  </r>
  <r>
    <x v="4"/>
    <s v="Driver E"/>
    <d v="2026-02-04T00:00:00"/>
    <n v="385.9"/>
    <n v="128.9"/>
    <n v="2.993793638479441"/>
    <n v="0.9"/>
    <n v="5"/>
    <n v="56.8"/>
    <n v="97.4"/>
  </r>
  <r>
    <x v="4"/>
    <s v="Driver E"/>
    <d v="2026-03-05T00:00:00"/>
    <n v="425.1"/>
    <n v="118.5"/>
    <n v="3.5873417721518988"/>
    <n v="3.2"/>
    <n v="7"/>
    <n v="67.599999999999994"/>
    <n v="99.7"/>
  </r>
  <r>
    <x v="4"/>
    <s v="Driver E"/>
    <d v="2026-03-05T00:00:00"/>
    <n v="437"/>
    <n v="139.1"/>
    <n v="3.1416247304097773"/>
    <n v="4.4000000000000004"/>
    <n v="6"/>
    <n v="69.099999999999994"/>
    <n v="98.1"/>
  </r>
  <r>
    <x v="4"/>
    <s v="Driver E"/>
    <d v="2026-03-22T00:00:00"/>
    <n v="116"/>
    <n v="25.8"/>
    <n v="4.4961240310077519"/>
    <n v="0.4"/>
    <n v="8"/>
    <n v="31.5"/>
    <n v="90.5"/>
  </r>
  <r>
    <x v="4"/>
    <s v="Driver E"/>
    <d v="2026-01-12T00:00:00"/>
    <n v="416.6"/>
    <n v="113.1"/>
    <n v="3.6834659593280286"/>
    <n v="2"/>
    <n v="4"/>
    <n v="35.9"/>
    <n v="93.1"/>
  </r>
  <r>
    <x v="4"/>
    <s v="Driver E"/>
    <d v="2026-02-26T00:00:00"/>
    <n v="105.3"/>
    <n v="26.4"/>
    <n v="3.9886363636363638"/>
    <n v="1.5"/>
    <n v="5"/>
    <n v="56.6"/>
    <n v="90.3"/>
  </r>
  <r>
    <x v="4"/>
    <s v="Driver E"/>
    <d v="2026-03-27T00:00:00"/>
    <n v="340"/>
    <n v="63.5"/>
    <n v="5.3543307086614176"/>
    <n v="4.5"/>
    <n v="2"/>
    <n v="59.1"/>
    <n v="91.4"/>
  </r>
  <r>
    <x v="4"/>
    <s v="Driver E"/>
    <d v="2026-01-10T00:00:00"/>
    <n v="189.4"/>
    <n v="38.4"/>
    <n v="4.932291666666667"/>
    <n v="2.4"/>
    <n v="1"/>
    <n v="59.8"/>
    <n v="98.1"/>
  </r>
  <r>
    <x v="4"/>
    <s v="Driver E"/>
    <d v="2026-02-07T00:00:00"/>
    <n v="238.8"/>
    <n v="53.5"/>
    <n v="4.4635514018691591"/>
    <n v="1.2"/>
    <n v="7"/>
    <n v="38.4"/>
    <n v="95"/>
  </r>
  <r>
    <x v="4"/>
    <s v="Driver E"/>
    <d v="2026-03-03T00:00:00"/>
    <n v="136.69999999999999"/>
    <n v="28.4"/>
    <n v="4.813380281690141"/>
    <n v="2.8"/>
    <n v="7"/>
    <n v="61.6"/>
    <n v="98.7"/>
  </r>
  <r>
    <x v="4"/>
    <s v="Driver E"/>
    <d v="2026-03-24T00:00:00"/>
    <n v="442"/>
    <n v="97.3"/>
    <n v="4.5426515930113052"/>
    <n v="2"/>
    <n v="7"/>
    <n v="50.2"/>
    <n v="98.8"/>
  </r>
  <r>
    <x v="4"/>
    <s v="Driver E"/>
    <d v="2026-02-20T00:00:00"/>
    <n v="423.7"/>
    <n v="117.4"/>
    <n v="3.6090289608177168"/>
    <n v="2.6"/>
    <n v="7"/>
    <n v="60.5"/>
    <n v="93.1"/>
  </r>
  <r>
    <x v="4"/>
    <s v="Driver E"/>
    <d v="2026-02-19T00:00:00"/>
    <n v="197.2"/>
    <n v="63.9"/>
    <n v="3.0860719874804379"/>
    <n v="0.2"/>
    <n v="5"/>
    <n v="50"/>
    <n v="96.4"/>
  </r>
  <r>
    <x v="4"/>
    <s v="Driver E"/>
    <d v="2026-03-07T00:00:00"/>
    <n v="223.7"/>
    <n v="50.7"/>
    <n v="4.4122287968441807"/>
    <n v="2.7"/>
    <n v="7"/>
    <n v="38.4"/>
    <n v="94.5"/>
  </r>
  <r>
    <x v="4"/>
    <s v="Driver E"/>
    <d v="2026-03-03T00:00:00"/>
    <n v="106.2"/>
    <n v="27.7"/>
    <n v="3.8339350180505418"/>
    <n v="3.3"/>
    <n v="2"/>
    <n v="34.6"/>
    <n v="90.5"/>
  </r>
  <r>
    <x v="4"/>
    <s v="Driver E"/>
    <d v="2026-02-01T00:00:00"/>
    <n v="182.5"/>
    <n v="60.3"/>
    <n v="3.0265339966832507"/>
    <n v="2.6"/>
    <n v="5"/>
    <n v="65.099999999999994"/>
    <n v="95.4"/>
  </r>
  <r>
    <x v="4"/>
    <s v="Driver E"/>
    <d v="2026-01-31T00:00:00"/>
    <n v="187.9"/>
    <n v="36.9"/>
    <n v="5.0921409214092144"/>
    <n v="4.2"/>
    <n v="7"/>
    <n v="61.5"/>
    <n v="96"/>
  </r>
  <r>
    <x v="4"/>
    <s v="Driver E"/>
    <d v="2026-01-12T00:00:00"/>
    <n v="343.1"/>
    <n v="63.4"/>
    <n v="5.4116719242902214"/>
    <n v="1.9"/>
    <n v="1"/>
    <n v="60.5"/>
    <n v="88.9"/>
  </r>
  <r>
    <x v="4"/>
    <s v="Driver E"/>
    <d v="2026-01-16T00:00:00"/>
    <n v="84.4"/>
    <n v="16.7"/>
    <n v="5.0538922155688626"/>
    <n v="4.4000000000000004"/>
    <n v="3"/>
    <n v="38.9"/>
    <n v="91"/>
  </r>
  <r>
    <x v="4"/>
    <s v="Driver E"/>
    <d v="2026-01-12T00:00:00"/>
    <n v="414.9"/>
    <n v="82.3"/>
    <n v="5.0413122721749692"/>
    <n v="1.6"/>
    <n v="1"/>
    <n v="72.400000000000006"/>
    <n v="85.8"/>
  </r>
  <r>
    <x v="4"/>
    <s v="Driver E"/>
    <d v="2026-01-07T00:00:00"/>
    <n v="213.5"/>
    <n v="54"/>
    <n v="3.9537037037037037"/>
    <n v="1.5"/>
    <n v="8"/>
    <n v="39"/>
    <n v="85.4"/>
  </r>
  <r>
    <x v="4"/>
    <s v="Driver E"/>
    <d v="2026-02-13T00:00:00"/>
    <n v="448.6"/>
    <n v="108.8"/>
    <n v="4.1231617647058822"/>
    <n v="3.4"/>
    <n v="3"/>
    <n v="72.7"/>
    <n v="98.8"/>
  </r>
  <r>
    <x v="4"/>
    <s v="Driver E"/>
    <d v="2026-03-03T00:00:00"/>
    <n v="420.5"/>
    <n v="135.4"/>
    <n v="3.1056129985228949"/>
    <n v="2"/>
    <n v="1"/>
    <n v="32.9"/>
    <n v="94.8"/>
  </r>
  <r>
    <x v="4"/>
    <s v="Driver E"/>
    <d v="2026-01-14T00:00:00"/>
    <n v="223.3"/>
    <n v="50.5"/>
    <n v="4.4217821782178222"/>
    <n v="4"/>
    <n v="7"/>
    <n v="48.8"/>
    <n v="94.1"/>
  </r>
  <r>
    <x v="4"/>
    <s v="Driver E"/>
    <d v="2026-01-04T00:00:00"/>
    <n v="249.9"/>
    <n v="67.599999999999994"/>
    <n v="3.6967455621301779"/>
    <n v="0.6"/>
    <n v="1"/>
    <n v="38"/>
    <n v="88.8"/>
  </r>
  <r>
    <x v="4"/>
    <s v="Driver E"/>
    <d v="2026-03-03T00:00:00"/>
    <n v="427.5"/>
    <n v="147"/>
    <n v="2.9081632653061225"/>
    <n v="3.5"/>
    <n v="4"/>
    <n v="32.799999999999997"/>
    <n v="90.5"/>
  </r>
  <r>
    <x v="4"/>
    <s v="Driver E"/>
    <d v="2026-02-26T00:00:00"/>
    <n v="141.30000000000001"/>
    <n v="47"/>
    <n v="3.0063829787234044"/>
    <n v="3"/>
    <n v="4"/>
    <n v="36.799999999999997"/>
    <n v="87.4"/>
  </r>
  <r>
    <x v="4"/>
    <s v="Driver E"/>
    <d v="2026-03-22T00:00:00"/>
    <n v="269.7"/>
    <n v="51.8"/>
    <n v="5.2065637065637063"/>
    <n v="0.8"/>
    <n v="3"/>
    <n v="41.6"/>
    <n v="87.7"/>
  </r>
  <r>
    <x v="4"/>
    <s v="Driver E"/>
    <d v="2026-02-14T00:00:00"/>
    <n v="186.1"/>
    <n v="43.8"/>
    <n v="4.2488584474885842"/>
    <n v="3.2"/>
    <n v="8"/>
    <n v="72.599999999999994"/>
    <n v="92.2"/>
  </r>
  <r>
    <x v="4"/>
    <s v="Driver E"/>
    <d v="2026-02-02T00:00:00"/>
    <n v="412.5"/>
    <n v="100.4"/>
    <n v="4.1085657370517925"/>
    <n v="2.1"/>
    <n v="5"/>
    <n v="54.4"/>
    <n v="92.4"/>
  </r>
  <r>
    <x v="4"/>
    <s v="Driver E"/>
    <d v="2026-02-13T00:00:00"/>
    <n v="110.5"/>
    <n v="25.4"/>
    <n v="4.3503937007874018"/>
    <n v="0.4"/>
    <n v="7"/>
    <n v="41.8"/>
    <n v="91"/>
  </r>
  <r>
    <x v="4"/>
    <s v="Driver E"/>
    <d v="2026-03-30T00:00:00"/>
    <n v="338.5"/>
    <n v="118.8"/>
    <n v="2.8493265993265995"/>
    <n v="2.7"/>
    <n v="1"/>
    <n v="41.5"/>
    <n v="85.9"/>
  </r>
  <r>
    <x v="4"/>
    <s v="Driver E"/>
    <d v="2026-03-25T00:00:00"/>
    <n v="425.2"/>
    <n v="80.599999999999994"/>
    <n v="5.2754342431761785"/>
    <n v="1.6"/>
    <n v="2"/>
    <n v="38.299999999999997"/>
    <n v="97.6"/>
  </r>
  <r>
    <x v="4"/>
    <s v="Driver E"/>
    <d v="2026-01-04T00:00:00"/>
    <n v="363.2"/>
    <n v="70.2"/>
    <n v="5.1737891737891735"/>
    <n v="2"/>
    <n v="7"/>
    <n v="43.7"/>
    <n v="96.2"/>
  </r>
  <r>
    <x v="4"/>
    <s v="Driver E"/>
    <d v="2026-01-21T00:00:00"/>
    <n v="401.5"/>
    <n v="122.3"/>
    <n v="3.2829108748977922"/>
    <n v="3.3"/>
    <n v="7"/>
    <n v="43.9"/>
    <n v="96"/>
  </r>
  <r>
    <x v="4"/>
    <s v="Driver E"/>
    <d v="2026-03-20T00:00:00"/>
    <n v="175.5"/>
    <n v="46.4"/>
    <n v="3.7823275862068968"/>
    <n v="1"/>
    <n v="6"/>
    <n v="65.5"/>
    <n v="98.2"/>
  </r>
  <r>
    <x v="4"/>
    <s v="Driver E"/>
    <d v="2026-01-18T00:00:00"/>
    <n v="84.3"/>
    <n v="18.5"/>
    <n v="4.5567567567567568"/>
    <n v="0.8"/>
    <n v="8"/>
    <n v="59.6"/>
    <n v="99.6"/>
  </r>
  <r>
    <x v="4"/>
    <s v="Driver E"/>
    <d v="2026-01-11T00:00:00"/>
    <n v="130.80000000000001"/>
    <n v="26.3"/>
    <n v="4.9733840304182513"/>
    <n v="3.9"/>
    <n v="7"/>
    <n v="58"/>
    <n v="91.8"/>
  </r>
  <r>
    <x v="4"/>
    <s v="Driver E"/>
    <d v="2026-03-20T00:00:00"/>
    <n v="184"/>
    <n v="36"/>
    <n v="5.1111111111111107"/>
    <n v="0.3"/>
    <n v="2"/>
    <n v="57.2"/>
    <n v="98.7"/>
  </r>
  <r>
    <x v="4"/>
    <s v="Driver E"/>
    <d v="2026-03-26T00:00:00"/>
    <n v="245.3"/>
    <n v="49.2"/>
    <n v="4.9857723577235769"/>
    <n v="1.3"/>
    <n v="4"/>
    <n v="51.8"/>
    <n v="97"/>
  </r>
  <r>
    <x v="4"/>
    <s v="Driver E"/>
    <d v="2026-03-04T00:00:00"/>
    <n v="321.89999999999998"/>
    <n v="79"/>
    <n v="4.074683544303797"/>
    <n v="4.0999999999999996"/>
    <n v="1"/>
    <n v="40.9"/>
    <n v="94.7"/>
  </r>
  <r>
    <x v="4"/>
    <s v="Driver E"/>
    <d v="2026-01-05T00:00:00"/>
    <n v="336.1"/>
    <n v="113.5"/>
    <n v="2.9612334801762117"/>
    <n v="0.8"/>
    <n v="8"/>
    <n v="50.6"/>
    <n v="87.6"/>
  </r>
  <r>
    <x v="4"/>
    <s v="Driver E"/>
    <d v="2026-02-21T00:00:00"/>
    <n v="148.4"/>
    <n v="28.8"/>
    <n v="5.1527777777777777"/>
    <n v="2.9"/>
    <n v="1"/>
    <n v="68.7"/>
    <n v="86.1"/>
  </r>
  <r>
    <x v="4"/>
    <s v="Driver E"/>
    <d v="2026-02-12T00:00:00"/>
    <n v="168.3"/>
    <n v="54.2"/>
    <n v="3.1051660516605168"/>
    <n v="2.2999999999999998"/>
    <n v="4"/>
    <n v="63.9"/>
    <n v="96.4"/>
  </r>
  <r>
    <x v="4"/>
    <s v="Driver E"/>
    <d v="2026-01-21T00:00:00"/>
    <n v="168"/>
    <n v="57.7"/>
    <n v="2.9116117850953205"/>
    <n v="1.6"/>
    <n v="3"/>
    <n v="49.8"/>
    <n v="90.5"/>
  </r>
  <r>
    <x v="5"/>
    <s v="Driver F"/>
    <d v="2026-02-22T00:00:00"/>
    <n v="259.7"/>
    <n v="76.900000000000006"/>
    <n v="3.3771131339401816"/>
    <n v="1.9"/>
    <n v="1"/>
    <n v="37.4"/>
    <n v="85"/>
  </r>
  <r>
    <x v="5"/>
    <s v="Driver F"/>
    <d v="2026-03-26T00:00:00"/>
    <n v="111.4"/>
    <n v="26.6"/>
    <n v="4.1879699248120303"/>
    <n v="2.9"/>
    <n v="6"/>
    <n v="34.200000000000003"/>
    <n v="99.3"/>
  </r>
  <r>
    <x v="5"/>
    <s v="Driver F"/>
    <d v="2026-03-02T00:00:00"/>
    <n v="272"/>
    <n v="68.099999999999994"/>
    <n v="3.994126284875184"/>
    <n v="1.4"/>
    <n v="7"/>
    <n v="58.6"/>
    <n v="92.4"/>
  </r>
  <r>
    <x v="5"/>
    <s v="Driver F"/>
    <d v="2026-03-19T00:00:00"/>
    <n v="136.6"/>
    <n v="28.2"/>
    <n v="4.8439716312056733"/>
    <n v="0.5"/>
    <n v="8"/>
    <n v="50.9"/>
    <n v="93.5"/>
  </r>
  <r>
    <x v="5"/>
    <s v="Driver F"/>
    <d v="2026-02-16T00:00:00"/>
    <n v="268.2"/>
    <n v="85.8"/>
    <n v="3.1258741258741258"/>
    <n v="1.1000000000000001"/>
    <n v="3"/>
    <n v="40.700000000000003"/>
    <n v="92.4"/>
  </r>
  <r>
    <x v="5"/>
    <s v="Driver F"/>
    <d v="2026-03-26T00:00:00"/>
    <n v="311.10000000000002"/>
    <n v="59.4"/>
    <n v="5.2373737373737379"/>
    <n v="1.7"/>
    <n v="1"/>
    <n v="67.099999999999994"/>
    <n v="85.4"/>
  </r>
  <r>
    <x v="5"/>
    <s v="Driver F"/>
    <d v="2026-02-11T00:00:00"/>
    <n v="425.5"/>
    <n v="89.6"/>
    <n v="4.7488839285714288"/>
    <n v="1"/>
    <n v="3"/>
    <n v="52.4"/>
    <n v="92.7"/>
  </r>
  <r>
    <x v="5"/>
    <s v="Driver F"/>
    <d v="2026-03-09T00:00:00"/>
    <n v="312.7"/>
    <n v="69.900000000000006"/>
    <n v="4.473533619456366"/>
    <n v="3.8"/>
    <n v="3"/>
    <n v="67"/>
    <n v="88.6"/>
  </r>
  <r>
    <x v="5"/>
    <s v="Driver F"/>
    <d v="2026-03-10T00:00:00"/>
    <n v="225.4"/>
    <n v="71.7"/>
    <n v="3.1436541143654115"/>
    <n v="4.4000000000000004"/>
    <n v="1"/>
    <n v="64"/>
    <n v="99.7"/>
  </r>
  <r>
    <x v="5"/>
    <s v="Driver F"/>
    <d v="2026-01-24T00:00:00"/>
    <n v="317"/>
    <n v="79.900000000000006"/>
    <n v="3.9674593241551936"/>
    <n v="0.3"/>
    <n v="4"/>
    <n v="50.2"/>
    <n v="91.4"/>
  </r>
  <r>
    <x v="5"/>
    <s v="Driver F"/>
    <d v="2026-03-13T00:00:00"/>
    <n v="141.69999999999999"/>
    <n v="39.6"/>
    <n v="3.5782828282828278"/>
    <n v="1"/>
    <n v="8"/>
    <n v="57.9"/>
    <n v="98"/>
  </r>
  <r>
    <x v="5"/>
    <s v="Driver F"/>
    <d v="2026-01-16T00:00:00"/>
    <n v="84.7"/>
    <n v="26.7"/>
    <n v="3.1722846441947565"/>
    <n v="0.2"/>
    <n v="8"/>
    <n v="72.900000000000006"/>
    <n v="92.8"/>
  </r>
  <r>
    <x v="5"/>
    <s v="Driver F"/>
    <d v="2026-01-04T00:00:00"/>
    <n v="432.3"/>
    <n v="84.6"/>
    <n v="5.1099290780141846"/>
    <n v="2.6"/>
    <n v="4"/>
    <n v="34.299999999999997"/>
    <n v="86.5"/>
  </r>
  <r>
    <x v="5"/>
    <s v="Driver F"/>
    <d v="2026-02-05T00:00:00"/>
    <n v="183.5"/>
    <n v="35.4"/>
    <n v="5.1836158192090398"/>
    <n v="0.3"/>
    <n v="4"/>
    <n v="59.1"/>
    <n v="92.5"/>
  </r>
  <r>
    <x v="5"/>
    <s v="Driver F"/>
    <d v="2026-02-25T00:00:00"/>
    <n v="373"/>
    <n v="69.2"/>
    <n v="5.3901734104046239"/>
    <n v="3"/>
    <n v="3"/>
    <n v="61.8"/>
    <n v="93.4"/>
  </r>
  <r>
    <x v="5"/>
    <s v="Driver F"/>
    <d v="2026-01-01T00:00:00"/>
    <n v="431.1"/>
    <n v="80.400000000000006"/>
    <n v="5.3619402985074629"/>
    <n v="1.9"/>
    <n v="1"/>
    <n v="38.200000000000003"/>
    <n v="89.8"/>
  </r>
  <r>
    <x v="5"/>
    <s v="Driver F"/>
    <d v="2026-03-23T00:00:00"/>
    <n v="188"/>
    <n v="62.2"/>
    <n v="3.022508038585209"/>
    <n v="3.8"/>
    <n v="5"/>
    <n v="65.3"/>
    <n v="92.1"/>
  </r>
  <r>
    <x v="5"/>
    <s v="Driver F"/>
    <d v="2026-01-22T00:00:00"/>
    <n v="439.7"/>
    <n v="88.2"/>
    <n v="4.9852607709750565"/>
    <n v="0.7"/>
    <n v="7"/>
    <n v="33.5"/>
    <n v="95.2"/>
  </r>
  <r>
    <x v="5"/>
    <s v="Driver F"/>
    <d v="2026-03-18T00:00:00"/>
    <n v="376.3"/>
    <n v="110.5"/>
    <n v="3.4054298642533936"/>
    <n v="2.8"/>
    <n v="5"/>
    <n v="62.1"/>
    <n v="95.6"/>
  </r>
  <r>
    <x v="5"/>
    <s v="Driver F"/>
    <d v="2026-02-10T00:00:00"/>
    <n v="314.8"/>
    <n v="111.9"/>
    <n v="2.813226094727435"/>
    <n v="1.4"/>
    <n v="3"/>
    <n v="55.9"/>
    <n v="87.4"/>
  </r>
  <r>
    <x v="5"/>
    <s v="Driver F"/>
    <d v="2026-01-15T00:00:00"/>
    <n v="129"/>
    <n v="27.1"/>
    <n v="4.7601476014760147"/>
    <n v="4.4000000000000004"/>
    <n v="3"/>
    <n v="34.700000000000003"/>
    <n v="98.7"/>
  </r>
  <r>
    <x v="5"/>
    <s v="Driver F"/>
    <d v="2026-03-05T00:00:00"/>
    <n v="132"/>
    <n v="27.9"/>
    <n v="4.731182795698925"/>
    <n v="3.3"/>
    <n v="2"/>
    <n v="41.4"/>
    <n v="87.9"/>
  </r>
  <r>
    <x v="5"/>
    <s v="Driver F"/>
    <d v="2026-03-07T00:00:00"/>
    <n v="124.2"/>
    <n v="42.7"/>
    <n v="2.9086651053864165"/>
    <n v="1.4"/>
    <n v="5"/>
    <n v="35.9"/>
    <n v="93.8"/>
  </r>
  <r>
    <x v="5"/>
    <s v="Driver F"/>
    <d v="2026-03-21T00:00:00"/>
    <n v="324.10000000000002"/>
    <n v="92.2"/>
    <n v="3.515184381778742"/>
    <n v="3.3"/>
    <n v="6"/>
    <n v="71.5"/>
    <n v="93.9"/>
  </r>
  <r>
    <x v="5"/>
    <s v="Driver F"/>
    <d v="2026-03-02T00:00:00"/>
    <n v="413.6"/>
    <n v="93.6"/>
    <n v="4.4188034188034191"/>
    <n v="4"/>
    <n v="2"/>
    <n v="34.200000000000003"/>
    <n v="94.9"/>
  </r>
  <r>
    <x v="5"/>
    <s v="Driver F"/>
    <d v="2026-03-23T00:00:00"/>
    <n v="262.89999999999998"/>
    <n v="92.9"/>
    <n v="2.8299246501614634"/>
    <n v="3.9"/>
    <n v="5"/>
    <n v="38.799999999999997"/>
    <n v="96.8"/>
  </r>
  <r>
    <x v="5"/>
    <s v="Driver F"/>
    <d v="2026-01-12T00:00:00"/>
    <n v="448.8"/>
    <n v="91.5"/>
    <n v="4.9049180327868855"/>
    <n v="1.7"/>
    <n v="7"/>
    <n v="48.2"/>
    <n v="88"/>
  </r>
  <r>
    <x v="5"/>
    <s v="Driver F"/>
    <d v="2026-03-12T00:00:00"/>
    <n v="228.6"/>
    <n v="61.6"/>
    <n v="3.7110389610389607"/>
    <n v="0.9"/>
    <n v="8"/>
    <n v="72"/>
    <n v="98.5"/>
  </r>
  <r>
    <x v="5"/>
    <s v="Driver F"/>
    <d v="2026-03-16T00:00:00"/>
    <n v="427"/>
    <n v="91.2"/>
    <n v="4.682017543859649"/>
    <n v="0.8"/>
    <n v="7"/>
    <n v="44.6"/>
    <n v="85.4"/>
  </r>
  <r>
    <x v="5"/>
    <s v="Driver F"/>
    <d v="2026-01-16T00:00:00"/>
    <n v="113.7"/>
    <n v="24.2"/>
    <n v="4.6983471074380168"/>
    <n v="2.9"/>
    <n v="2"/>
    <n v="53.6"/>
    <n v="90.8"/>
  </r>
  <r>
    <x v="5"/>
    <s v="Driver F"/>
    <d v="2026-02-10T00:00:00"/>
    <n v="282.60000000000002"/>
    <n v="61.2"/>
    <n v="4.6176470588235299"/>
    <n v="3.8"/>
    <n v="1"/>
    <n v="48.5"/>
    <n v="92.9"/>
  </r>
  <r>
    <x v="5"/>
    <s v="Driver F"/>
    <d v="2026-02-19T00:00:00"/>
    <n v="218.2"/>
    <n v="54.1"/>
    <n v="4.033271719038817"/>
    <n v="1"/>
    <n v="6"/>
    <n v="73.900000000000006"/>
    <n v="88"/>
  </r>
  <r>
    <x v="5"/>
    <s v="Driver F"/>
    <d v="2026-03-10T00:00:00"/>
    <n v="191.6"/>
    <n v="36.299999999999997"/>
    <n v="5.2782369146005514"/>
    <n v="1.9"/>
    <n v="8"/>
    <n v="64.599999999999994"/>
    <n v="99.2"/>
  </r>
  <r>
    <x v="6"/>
    <s v="Driver G"/>
    <d v="2026-03-11T00:00:00"/>
    <n v="359.4"/>
    <n v="77.099999999999994"/>
    <n v="4.6614785992217902"/>
    <n v="3.3"/>
    <n v="7"/>
    <n v="74.8"/>
    <n v="94.7"/>
  </r>
  <r>
    <x v="6"/>
    <s v="Driver G"/>
    <d v="2026-03-22T00:00:00"/>
    <n v="158.1"/>
    <n v="34.5"/>
    <n v="4.5826086956521737"/>
    <n v="0.9"/>
    <n v="3"/>
    <n v="54.8"/>
    <n v="87.3"/>
  </r>
  <r>
    <x v="6"/>
    <s v="Driver G"/>
    <d v="2026-03-17T00:00:00"/>
    <n v="159.9"/>
    <n v="31.1"/>
    <n v="5.141479099678457"/>
    <n v="1.6"/>
    <n v="3"/>
    <n v="65.5"/>
    <n v="93.9"/>
  </r>
  <r>
    <x v="6"/>
    <s v="Driver G"/>
    <d v="2026-01-18T00:00:00"/>
    <n v="362.7"/>
    <n v="101.3"/>
    <n v="3.5804540967423493"/>
    <n v="0.7"/>
    <n v="8"/>
    <n v="63.6"/>
    <n v="87.6"/>
  </r>
  <r>
    <x v="6"/>
    <s v="Driver G"/>
    <d v="2026-02-11T00:00:00"/>
    <n v="303.89999999999998"/>
    <n v="73.2"/>
    <n v="4.1516393442622945"/>
    <n v="4.3"/>
    <n v="8"/>
    <n v="34.700000000000003"/>
    <n v="98.5"/>
  </r>
  <r>
    <x v="6"/>
    <s v="Driver G"/>
    <d v="2026-01-06T00:00:00"/>
    <n v="196.8"/>
    <n v="54.1"/>
    <n v="3.6377079482439929"/>
    <n v="1.9"/>
    <n v="8"/>
    <n v="41.4"/>
    <n v="96.3"/>
  </r>
  <r>
    <x v="6"/>
    <s v="Driver G"/>
    <d v="2026-02-06T00:00:00"/>
    <n v="212.1"/>
    <n v="43.2"/>
    <n v="4.9097222222222214"/>
    <n v="3.9"/>
    <n v="6"/>
    <n v="42.3"/>
    <n v="97"/>
  </r>
  <r>
    <x v="6"/>
    <s v="Driver G"/>
    <d v="2026-02-24T00:00:00"/>
    <n v="117.9"/>
    <n v="23.4"/>
    <n v="5.0384615384615392"/>
    <n v="3.4"/>
    <n v="5"/>
    <n v="69.400000000000006"/>
    <n v="85.5"/>
  </r>
  <r>
    <x v="6"/>
    <s v="Driver G"/>
    <d v="2026-01-08T00:00:00"/>
    <n v="290.89999999999998"/>
    <n v="68.7"/>
    <n v="4.2343522561863169"/>
    <n v="2.8"/>
    <n v="3"/>
    <n v="44.6"/>
    <n v="95.6"/>
  </r>
  <r>
    <x v="6"/>
    <s v="Driver G"/>
    <d v="2026-03-22T00:00:00"/>
    <n v="134.69999999999999"/>
    <n v="30.6"/>
    <n v="4.401960784313725"/>
    <n v="1.6"/>
    <n v="2"/>
    <n v="33.9"/>
    <n v="93.3"/>
  </r>
  <r>
    <x v="6"/>
    <s v="Driver G"/>
    <d v="2026-02-04T00:00:00"/>
    <n v="321.10000000000002"/>
    <n v="76.7"/>
    <n v="4.1864406779661021"/>
    <n v="3.9"/>
    <n v="1"/>
    <n v="51.3"/>
    <n v="87"/>
  </r>
  <r>
    <x v="6"/>
    <s v="Driver G"/>
    <d v="2026-02-17T00:00:00"/>
    <n v="431.5"/>
    <n v="82.8"/>
    <n v="5.2113526570048307"/>
    <n v="3.5"/>
    <n v="4"/>
    <n v="30.8"/>
    <n v="85.1"/>
  </r>
  <r>
    <x v="6"/>
    <s v="Driver G"/>
    <d v="2026-03-26T00:00:00"/>
    <n v="202.8"/>
    <m/>
    <n v="0"/>
    <n v="1.1000000000000001"/>
    <n v="8"/>
    <n v="74.8"/>
    <n v="97.4"/>
  </r>
  <r>
    <x v="6"/>
    <s v="Driver G"/>
    <d v="2026-03-29T00:00:00"/>
    <n v="237"/>
    <n v="76.900000000000006"/>
    <n v="3.0819245773732118"/>
    <n v="2.5"/>
    <n v="7"/>
    <n v="59.1"/>
    <n v="99.1"/>
  </r>
  <r>
    <x v="6"/>
    <s v="Driver G"/>
    <d v="2026-03-17T00:00:00"/>
    <n v="139.69999999999999"/>
    <n v="27.7"/>
    <n v="5.0433212996389889"/>
    <n v="0.3"/>
    <n v="1"/>
    <n v="35.799999999999997"/>
    <n v="93.9"/>
  </r>
  <r>
    <x v="6"/>
    <s v="Driver G"/>
    <d v="2026-03-30T00:00:00"/>
    <n v="377.6"/>
    <n v="96.7"/>
    <n v="3.9048603929679424"/>
    <n v="0.7"/>
    <n v="7"/>
    <n v="59.3"/>
    <n v="88.8"/>
  </r>
  <r>
    <x v="6"/>
    <s v="Driver G"/>
    <d v="2026-01-19T00:00:00"/>
    <n v="376"/>
    <n v="78.400000000000006"/>
    <n v="4.7959183673469381"/>
    <n v="2.2000000000000002"/>
    <n v="1"/>
    <n v="37.9"/>
    <n v="92.5"/>
  </r>
  <r>
    <x v="6"/>
    <s v="Driver G"/>
    <d v="2026-02-13T00:00:00"/>
    <n v="235.5"/>
    <n v="47.9"/>
    <n v="4.916492693110647"/>
    <n v="2.2999999999999998"/>
    <n v="6"/>
    <n v="50.9"/>
    <n v="96.9"/>
  </r>
  <r>
    <x v="6"/>
    <s v="Driver G"/>
    <d v="2026-02-02T00:00:00"/>
    <n v="382.4"/>
    <n v="75.900000000000006"/>
    <n v="5.0382081686429503"/>
    <n v="0.7"/>
    <n v="4"/>
    <n v="47.3"/>
    <n v="99.6"/>
  </r>
  <r>
    <x v="6"/>
    <s v="Driver G"/>
    <d v="2026-02-16T00:00:00"/>
    <n v="408.4"/>
    <n v="79.599999999999994"/>
    <n v="5.1306532663316586"/>
    <n v="1.1000000000000001"/>
    <n v="2"/>
    <n v="40.6"/>
    <n v="91.5"/>
  </r>
  <r>
    <x v="6"/>
    <s v="Driver G"/>
    <d v="2026-02-18T00:00:00"/>
    <n v="363.3"/>
    <n v="68.5"/>
    <n v="5.3036496350364963"/>
    <n v="1.3"/>
    <n v="8"/>
    <n v="50.1"/>
    <n v="91"/>
  </r>
  <r>
    <x v="6"/>
    <s v="Driver G"/>
    <d v="2026-02-10T00:00:00"/>
    <n v="88"/>
    <n v="17.5"/>
    <n v="5.0285714285714285"/>
    <n v="3.2"/>
    <n v="5"/>
    <n v="71.400000000000006"/>
    <n v="92.7"/>
  </r>
  <r>
    <x v="6"/>
    <s v="Driver G"/>
    <d v="2026-03-31T00:00:00"/>
    <n v="308.60000000000002"/>
    <n v="104.8"/>
    <n v="2.9446564885496187"/>
    <n v="3"/>
    <n v="1"/>
    <n v="33"/>
    <n v="94.9"/>
  </r>
  <r>
    <x v="6"/>
    <s v="Driver G"/>
    <d v="2026-01-18T00:00:00"/>
    <n v="194.3"/>
    <n v="41.3"/>
    <n v="4.7046004842615021"/>
    <n v="2.5"/>
    <n v="3"/>
    <n v="49.4"/>
    <n v="98.6"/>
  </r>
  <r>
    <x v="6"/>
    <s v="Driver G"/>
    <d v="2026-03-31T00:00:00"/>
    <n v="157.30000000000001"/>
    <n v="53.2"/>
    <n v="2.9567669172932329"/>
    <n v="2.7"/>
    <n v="2"/>
    <n v="51.8"/>
    <n v="95.3"/>
  </r>
  <r>
    <x v="6"/>
    <s v="Driver G"/>
    <d v="2026-01-25T00:00:00"/>
    <n v="186"/>
    <n v="43.9"/>
    <n v="4.236902050113895"/>
    <n v="3.5"/>
    <n v="2"/>
    <n v="42.3"/>
    <n v="87.4"/>
  </r>
  <r>
    <x v="6"/>
    <s v="Driver G"/>
    <d v="2026-03-26T00:00:00"/>
    <n v="144.19999999999999"/>
    <n v="45.4"/>
    <n v="3.1762114537444934"/>
    <n v="2.6"/>
    <n v="6"/>
    <n v="67.8"/>
    <n v="87.3"/>
  </r>
  <r>
    <x v="6"/>
    <s v="Driver G"/>
    <d v="2026-01-23T00:00:00"/>
    <n v="285.2"/>
    <n v="52.7"/>
    <n v="5.4117647058823524"/>
    <n v="3"/>
    <n v="5"/>
    <n v="61.3"/>
    <n v="98.4"/>
  </r>
  <r>
    <x v="6"/>
    <s v="Driver G"/>
    <d v="2026-01-06T00:00:00"/>
    <n v="299.39999999999998"/>
    <n v="80.8"/>
    <n v="3.7054455445544554"/>
    <n v="0.7"/>
    <n v="3"/>
    <n v="64.099999999999994"/>
    <n v="87.5"/>
  </r>
  <r>
    <x v="6"/>
    <s v="Driver G"/>
    <d v="2026-02-05T00:00:00"/>
    <n v="99.6"/>
    <n v="32.1"/>
    <n v="3.1028037383177569"/>
    <n v="0.8"/>
    <n v="8"/>
    <n v="52.4"/>
    <n v="87.4"/>
  </r>
  <r>
    <x v="6"/>
    <s v="Driver G"/>
    <d v="2026-03-13T00:00:00"/>
    <n v="341.6"/>
    <n v="74.3"/>
    <n v="4.5975773889636615"/>
    <n v="4.4000000000000004"/>
    <n v="3"/>
    <n v="46.8"/>
    <n v="93.1"/>
  </r>
  <r>
    <x v="6"/>
    <s v="Driver G"/>
    <d v="2026-01-03T00:00:00"/>
    <n v="110.9"/>
    <n v="21.8"/>
    <n v="5.0871559633027523"/>
    <n v="3.1"/>
    <n v="2"/>
    <n v="73.900000000000006"/>
    <n v="90.9"/>
  </r>
  <r>
    <x v="7"/>
    <s v="Driver H"/>
    <d v="2026-02-07T00:00:00"/>
    <n v="444.5"/>
    <n v="87"/>
    <n v="5.1091954022988508"/>
    <n v="3.9"/>
    <n v="7"/>
    <n v="42.5"/>
    <n v="94.5"/>
  </r>
  <r>
    <x v="7"/>
    <s v="Driver H"/>
    <d v="2026-01-21T00:00:00"/>
    <n v="251"/>
    <n v="71.099999999999994"/>
    <n v="3.5302390998593531"/>
    <n v="4.2"/>
    <n v="4"/>
    <n v="60.8"/>
    <n v="97.6"/>
  </r>
  <r>
    <x v="7"/>
    <s v="Driver H"/>
    <d v="2026-01-01T00:00:00"/>
    <n v="106.3"/>
    <n v="23.6"/>
    <n v="4.5042372881355925"/>
    <n v="1.2"/>
    <n v="1"/>
    <n v="68.7"/>
    <n v="86.1"/>
  </r>
  <r>
    <x v="7"/>
    <s v="Driver H"/>
    <d v="2026-02-05T00:00:00"/>
    <n v="327.5"/>
    <n v="96.9"/>
    <n v="3.3797729618163053"/>
    <n v="0.8"/>
    <n v="8"/>
    <n v="40.9"/>
    <n v="92.1"/>
  </r>
  <r>
    <x v="7"/>
    <s v="Driver H"/>
    <d v="2026-02-21T00:00:00"/>
    <n v="124.4"/>
    <n v="23.9"/>
    <n v="5.2050209205020925"/>
    <n v="1.3"/>
    <n v="1"/>
    <n v="57.9"/>
    <n v="91.3"/>
  </r>
  <r>
    <x v="7"/>
    <s v="Driver H"/>
    <d v="2026-03-27T00:00:00"/>
    <n v="118"/>
    <n v="24.1"/>
    <n v="4.8962655601659746"/>
    <n v="4"/>
    <n v="7"/>
    <n v="73.8"/>
    <n v="96.2"/>
  </r>
  <r>
    <x v="7"/>
    <s v="Driver H"/>
    <d v="2026-01-21T00:00:00"/>
    <n v="441.2"/>
    <n v="88.4"/>
    <n v="4.990950226244343"/>
    <n v="4"/>
    <n v="1"/>
    <n v="38.1"/>
    <n v="98.9"/>
  </r>
  <r>
    <x v="7"/>
    <s v="Driver H"/>
    <d v="2026-03-28T00:00:00"/>
    <n v="194.9"/>
    <n v="39.200000000000003"/>
    <n v="4.9719387755102042"/>
    <n v="0.8"/>
    <n v="1"/>
    <n v="41"/>
    <n v="92.1"/>
  </r>
  <r>
    <x v="7"/>
    <s v="Driver H"/>
    <d v="2026-02-22T00:00:00"/>
    <n v="260.8"/>
    <n v="53.8"/>
    <n v="4.8475836431226771"/>
    <n v="3.2"/>
    <n v="8"/>
    <n v="50.2"/>
    <n v="85.3"/>
  </r>
  <r>
    <x v="7"/>
    <s v="Driver H"/>
    <d v="2026-02-28T00:00:00"/>
    <n v="284"/>
    <n v="74"/>
    <n v="3.8378378378378377"/>
    <n v="4.2"/>
    <n v="3"/>
    <n v="68.900000000000006"/>
    <n v="89.1"/>
  </r>
  <r>
    <x v="7"/>
    <s v="Driver H"/>
    <d v="2026-02-05T00:00:00"/>
    <n v="286.5"/>
    <n v="84.1"/>
    <n v="3.4066587395957195"/>
    <n v="4.4000000000000004"/>
    <n v="5"/>
    <n v="64.7"/>
    <n v="95.6"/>
  </r>
  <r>
    <x v="7"/>
    <s v="Driver H"/>
    <d v="2026-01-01T00:00:00"/>
    <n v="176.5"/>
    <n v="51.4"/>
    <n v="3.4338521400778212"/>
    <n v="3.4"/>
    <n v="6"/>
    <n v="43.6"/>
    <n v="95.8"/>
  </r>
  <r>
    <x v="7"/>
    <s v="Driver H"/>
    <d v="2026-03-31T00:00:00"/>
    <n v="303.60000000000002"/>
    <n v="90.6"/>
    <n v="3.3509933774834444"/>
    <n v="4.0999999999999996"/>
    <n v="6"/>
    <n v="64.900000000000006"/>
    <n v="90.7"/>
  </r>
  <r>
    <x v="7"/>
    <s v="Driver H"/>
    <d v="2026-03-05T00:00:00"/>
    <n v="283.7"/>
    <n v="53.1"/>
    <n v="5.3427495291902067"/>
    <n v="1.7"/>
    <n v="8"/>
    <n v="73.5"/>
    <n v="94.6"/>
  </r>
  <r>
    <x v="7"/>
    <s v="Driver H"/>
    <d v="2026-01-09T00:00:00"/>
    <n v="341.7"/>
    <n v="121"/>
    <n v="2.8239669421487603"/>
    <n v="2.4"/>
    <n v="6"/>
    <n v="32.700000000000003"/>
    <n v="94.6"/>
  </r>
  <r>
    <x v="7"/>
    <s v="Driver H"/>
    <d v="2026-03-28T00:00:00"/>
    <n v="225.3"/>
    <n v="70.8"/>
    <n v="3.1822033898305087"/>
    <n v="2.9"/>
    <n v="7"/>
    <n v="46.9"/>
    <n v="86.1"/>
  </r>
  <r>
    <x v="7"/>
    <s v="Driver H"/>
    <d v="2026-02-24T00:00:00"/>
    <n v="322.5"/>
    <n v="68.599999999999994"/>
    <n v="4.7011661807580181"/>
    <n v="0.2"/>
    <n v="8"/>
    <n v="33.5"/>
    <n v="93.9"/>
  </r>
  <r>
    <x v="7"/>
    <s v="Driver H"/>
    <d v="2026-03-05T00:00:00"/>
    <n v="222.8"/>
    <n v="64.599999999999994"/>
    <n v="3.4489164086687309"/>
    <n v="2.9"/>
    <n v="2"/>
    <n v="53.8"/>
    <n v="99.7"/>
  </r>
  <r>
    <x v="7"/>
    <s v="Driver H"/>
    <d v="2026-01-08T00:00:00"/>
    <n v="170.5"/>
    <n v="32.200000000000003"/>
    <n v="5.2950310559006208"/>
    <n v="0.7"/>
    <n v="1"/>
    <n v="43.9"/>
    <n v="96.1"/>
  </r>
  <r>
    <x v="7"/>
    <s v="Driver H"/>
    <d v="2026-03-11T00:00:00"/>
    <n v="208.2"/>
    <n v="41.1"/>
    <n v="5.0656934306569337"/>
    <n v="4"/>
    <n v="6"/>
    <n v="30.1"/>
    <n v="94.9"/>
  </r>
  <r>
    <x v="7"/>
    <s v="Driver H"/>
    <d v="2026-03-22T00:00:00"/>
    <n v="447.8"/>
    <n v="104.9"/>
    <n v="4.2688274547187799"/>
    <n v="0.3"/>
    <n v="7"/>
    <n v="65.2"/>
    <n v="90.4"/>
  </r>
  <r>
    <x v="7"/>
    <s v="Driver H"/>
    <d v="2026-01-04T00:00:00"/>
    <n v="411.4"/>
    <n v="83.9"/>
    <n v="4.9034564958283662"/>
    <n v="0.5"/>
    <n v="8"/>
    <n v="53.8"/>
    <n v="96.5"/>
  </r>
  <r>
    <x v="7"/>
    <s v="Driver H"/>
    <d v="2026-01-21T00:00:00"/>
    <n v="117"/>
    <n v="25.6"/>
    <n v="4.5703125"/>
    <n v="1.3"/>
    <n v="1"/>
    <n v="64.400000000000006"/>
    <n v="99.2"/>
  </r>
  <r>
    <x v="7"/>
    <s v="Driver H"/>
    <d v="2026-03-30T00:00:00"/>
    <n v="105.1"/>
    <n v="30.1"/>
    <n v="3.4916943521594681"/>
    <n v="0.7"/>
    <n v="1"/>
    <n v="32.200000000000003"/>
    <n v="91.6"/>
  </r>
  <r>
    <x v="7"/>
    <s v="Driver H"/>
    <d v="2026-01-29T00:00:00"/>
    <n v="336.6"/>
    <n v="90.2"/>
    <n v="3.7317073170731709"/>
    <n v="0.8"/>
    <n v="7"/>
    <n v="52.7"/>
    <n v="89.6"/>
  </r>
  <r>
    <x v="7"/>
    <s v="Driver H"/>
    <d v="2026-01-01T00:00:00"/>
    <n v="84.7"/>
    <n v="27.9"/>
    <n v="3.0358422939068102"/>
    <m/>
    <n v="8"/>
    <n v="36.700000000000003"/>
    <n v="86.4"/>
  </r>
  <r>
    <x v="7"/>
    <s v="Driver H"/>
    <d v="2026-02-05T00:00:00"/>
    <n v="227.2"/>
    <n v="61"/>
    <n v="3.7245901639344261"/>
    <n v="1.5"/>
    <n v="3"/>
    <n v="36.200000000000003"/>
    <n v="94"/>
  </r>
  <r>
    <x v="7"/>
    <s v="Driver H"/>
    <d v="2026-01-24T00:00:00"/>
    <n v="272.60000000000002"/>
    <n v="55.4"/>
    <n v="4.9205776173285205"/>
    <n v="0.9"/>
    <n v="7"/>
    <n v="34.1"/>
    <n v="88.3"/>
  </r>
  <r>
    <x v="7"/>
    <s v="Driver H"/>
    <d v="2026-03-08T00:00:00"/>
    <n v="230.2"/>
    <n v="46"/>
    <n v="5.0043478260869563"/>
    <n v="1.7"/>
    <n v="8"/>
    <n v="69.900000000000006"/>
    <n v="85.1"/>
  </r>
  <r>
    <x v="7"/>
    <s v="Driver H"/>
    <d v="2026-03-19T00:00:00"/>
    <n v="436.3"/>
    <n v="108.3"/>
    <n v="4.0286241920590955"/>
    <n v="1.9"/>
    <n v="1"/>
    <n v="41.7"/>
    <n v="91.1"/>
  </r>
  <r>
    <x v="7"/>
    <s v="Driver H"/>
    <d v="2026-03-28T00:00:00"/>
    <n v="339.4"/>
    <n v="68.400000000000006"/>
    <n v="4.9619883040935662"/>
    <n v="2"/>
    <n v="6"/>
    <n v="53.2"/>
    <n v="85.1"/>
  </r>
  <r>
    <x v="7"/>
    <s v="Driver H"/>
    <d v="2026-02-03T00:00:00"/>
    <n v="156.5"/>
    <n v="46.8"/>
    <n v="3.3440170940170941"/>
    <n v="1.3"/>
    <n v="6"/>
    <n v="37"/>
    <n v="86.6"/>
  </r>
  <r>
    <x v="7"/>
    <s v="Driver H"/>
    <d v="2026-03-08T00:00:00"/>
    <n v="362.9"/>
    <n v="69"/>
    <n v="5.2594202898550719"/>
    <n v="3.7"/>
    <n v="5"/>
    <n v="42.8"/>
    <n v="96.1"/>
  </r>
  <r>
    <x v="7"/>
    <s v="Driver H"/>
    <d v="2026-01-05T00:00:00"/>
    <n v="153.69999999999999"/>
    <n v="32.1"/>
    <n v="4.7881619937694699"/>
    <n v="0.6"/>
    <n v="4"/>
    <n v="51.3"/>
    <n v="95.2"/>
  </r>
  <r>
    <x v="7"/>
    <s v="Driver H"/>
    <d v="2026-01-30T00:00:00"/>
    <n v="174.8"/>
    <n v="48.4"/>
    <n v="3.6115702479338845"/>
    <n v="2.7"/>
    <n v="4"/>
    <n v="63"/>
    <n v="95.9"/>
  </r>
  <r>
    <x v="7"/>
    <s v="Driver H"/>
    <d v="2026-01-26T00:00:00"/>
    <n v="333.6"/>
    <n v="103.6"/>
    <n v="3.2200772200772203"/>
    <n v="3.3"/>
    <n v="2"/>
    <n v="35.1"/>
    <n v="85.8"/>
  </r>
  <r>
    <x v="7"/>
    <s v="Driver H"/>
    <d v="2026-01-23T00:00:00"/>
    <n v="325.2"/>
    <n v="108"/>
    <n v="3.0111111111111111"/>
    <n v="4.2"/>
    <n v="8"/>
    <n v="35.1"/>
    <n v="93.9"/>
  </r>
  <r>
    <x v="7"/>
    <s v="Driver H"/>
    <d v="2026-02-25T00:00:00"/>
    <n v="339.8"/>
    <n v="87.9"/>
    <n v="3.8657565415244597"/>
    <n v="1.6"/>
    <n v="7"/>
    <n v="48.3"/>
    <n v="91.5"/>
  </r>
  <r>
    <x v="7"/>
    <s v="Driver H"/>
    <d v="2026-03-06T00:00:00"/>
    <n v="179.6"/>
    <n v="33.9"/>
    <n v="5.2979351032448374"/>
    <n v="2.7"/>
    <n v="1"/>
    <n v="74"/>
    <n v="93.5"/>
  </r>
  <r>
    <x v="7"/>
    <s v="Driver H"/>
    <d v="2026-01-10T00:00:00"/>
    <n v="254.3"/>
    <n v="61.9"/>
    <n v="4.1082390953150245"/>
    <n v="4"/>
    <n v="3"/>
    <n v="39.700000000000003"/>
    <n v="94.1"/>
  </r>
  <r>
    <x v="7"/>
    <s v="Driver H"/>
    <d v="2026-01-12T00:00:00"/>
    <n v="232.3"/>
    <n v="55.2"/>
    <n v="4.208333333333333"/>
    <n v="3.9"/>
    <n v="4"/>
    <n v="56.6"/>
    <n v="97.6"/>
  </r>
  <r>
    <x v="7"/>
    <s v="Driver H"/>
    <d v="2026-01-04T00:00:00"/>
    <n v="372.8"/>
    <n v="115.9"/>
    <n v="3.2165660051768765"/>
    <n v="1.5"/>
    <n v="8"/>
    <n v="35.6"/>
    <n v="95"/>
  </r>
  <r>
    <x v="8"/>
    <s v="Driver I"/>
    <d v="2026-02-01T00:00:00"/>
    <n v="390.7"/>
    <n v="110.1"/>
    <n v="3.5485921889191645"/>
    <n v="3.5"/>
    <n v="8"/>
    <n v="58.2"/>
    <n v="89.1"/>
  </r>
  <r>
    <x v="8"/>
    <s v="Driver I"/>
    <d v="2026-02-23T00:00:00"/>
    <n v="173.3"/>
    <n v="57.4"/>
    <n v="3.0191637630662025"/>
    <n v="0.3"/>
    <n v="1"/>
    <n v="75"/>
    <n v="90.2"/>
  </r>
  <r>
    <x v="8"/>
    <s v="Driver I"/>
    <d v="2026-02-13T00:00:00"/>
    <n v="183.5"/>
    <n v="41.6"/>
    <n v="4.4110576923076925"/>
    <n v="4"/>
    <n v="1"/>
    <n v="53.2"/>
    <n v="87.9"/>
  </r>
  <r>
    <x v="8"/>
    <s v="Driver I"/>
    <d v="2026-03-03T00:00:00"/>
    <n v="122.2"/>
    <n v="41.1"/>
    <n v="2.9732360097323602"/>
    <n v="2.2999999999999998"/>
    <n v="1"/>
    <n v="36.799999999999997"/>
    <n v="97.2"/>
  </r>
  <r>
    <x v="8"/>
    <s v="Driver I"/>
    <d v="2026-03-27T00:00:00"/>
    <n v="83.5"/>
    <n v="16.8"/>
    <n v="4.9702380952380949"/>
    <n v="4.0999999999999996"/>
    <n v="3"/>
    <n v="33.299999999999997"/>
    <n v="99.2"/>
  </r>
  <r>
    <x v="8"/>
    <s v="Driver I"/>
    <d v="2026-03-16T00:00:00"/>
    <n v="221"/>
    <n v="48.8"/>
    <n v="4.528688524590164"/>
    <n v="1.8"/>
    <n v="4"/>
    <n v="51.2"/>
    <n v="94.3"/>
  </r>
  <r>
    <x v="8"/>
    <s v="Driver I"/>
    <d v="2026-01-19T00:00:00"/>
    <n v="445.4"/>
    <n v="104.6"/>
    <n v="4.2581261950286811"/>
    <n v="3.6"/>
    <n v="2"/>
    <n v="59.7"/>
    <n v="85.4"/>
  </r>
  <r>
    <x v="8"/>
    <s v="Driver I"/>
    <d v="2026-02-27T00:00:00"/>
    <n v="415"/>
    <n v="129.80000000000001"/>
    <n v="3.1972265023112478"/>
    <n v="2.1"/>
    <n v="4"/>
    <n v="66.8"/>
    <n v="98.3"/>
  </r>
  <r>
    <x v="8"/>
    <s v="Driver I"/>
    <d v="2026-01-25T00:00:00"/>
    <n v="426.8"/>
    <n v="89.7"/>
    <n v="4.7580824972129321"/>
    <n v="0.7"/>
    <n v="7"/>
    <n v="57.7"/>
    <n v="99"/>
  </r>
  <r>
    <x v="8"/>
    <s v="Driver I"/>
    <d v="2026-03-10T00:00:00"/>
    <n v="441.7"/>
    <n v="155.19999999999999"/>
    <n v="2.8460051546391756"/>
    <n v="3.7"/>
    <n v="7"/>
    <n v="66.3"/>
    <n v="98.6"/>
  </r>
  <r>
    <x v="8"/>
    <s v="Driver I"/>
    <d v="2026-03-11T00:00:00"/>
    <n v="288.5"/>
    <n v="99.9"/>
    <n v="2.8878878878878878"/>
    <n v="4.2"/>
    <n v="6"/>
    <n v="30.7"/>
    <n v="88.1"/>
  </r>
  <r>
    <x v="8"/>
    <s v="Driver I"/>
    <d v="2026-02-08T00:00:00"/>
    <n v="179.3"/>
    <n v="56.1"/>
    <n v="3.1960784313725492"/>
    <n v="0.9"/>
    <n v="5"/>
    <n v="48.9"/>
    <n v="92.3"/>
  </r>
  <r>
    <x v="8"/>
    <s v="Driver I"/>
    <d v="2026-02-14T00:00:00"/>
    <n v="399"/>
    <n v="131.5"/>
    <n v="3.0342205323193916"/>
    <n v="3.9"/>
    <n v="2"/>
    <n v="64.900000000000006"/>
    <n v="88.6"/>
  </r>
  <r>
    <x v="8"/>
    <s v="Driver I"/>
    <d v="2026-01-12T00:00:00"/>
    <n v="322.2"/>
    <n v="92.7"/>
    <n v="3.4757281553398056"/>
    <n v="1.8"/>
    <n v="3"/>
    <n v="32.299999999999997"/>
    <n v="94.4"/>
  </r>
  <r>
    <x v="8"/>
    <s v="Driver I"/>
    <d v="2026-01-22T00:00:00"/>
    <n v="217.6"/>
    <m/>
    <n v="0"/>
    <n v="4"/>
    <n v="2"/>
    <n v="64.7"/>
    <n v="85.4"/>
  </r>
  <r>
    <x v="8"/>
    <s v="Driver I"/>
    <d v="2026-01-12T00:00:00"/>
    <n v="96.2"/>
    <n v="28.1"/>
    <n v="3.4234875444839856"/>
    <n v="3.8"/>
    <n v="7"/>
    <n v="61.5"/>
    <n v="90.6"/>
  </r>
  <r>
    <x v="8"/>
    <s v="Driver I"/>
    <d v="2026-01-12T00:00:00"/>
    <n v="317.5"/>
    <n v="82.5"/>
    <n v="3.8484848484848486"/>
    <n v="1.8"/>
    <n v="7"/>
    <n v="46.6"/>
    <n v="91.7"/>
  </r>
  <r>
    <x v="8"/>
    <s v="Driver I"/>
    <d v="2026-02-26T00:00:00"/>
    <n v="252.1"/>
    <n v="73.900000000000006"/>
    <n v="3.4113667117726654"/>
    <n v="1.4"/>
    <n v="1"/>
    <n v="36.799999999999997"/>
    <n v="95.4"/>
  </r>
  <r>
    <x v="8"/>
    <s v="Driver I"/>
    <d v="2026-02-24T00:00:00"/>
    <n v="411.3"/>
    <n v="80.7"/>
    <n v="5.0966542750929369"/>
    <n v="2.2000000000000002"/>
    <n v="4"/>
    <n v="51"/>
    <n v="95.2"/>
  </r>
  <r>
    <x v="8"/>
    <s v="Driver I"/>
    <d v="2026-03-25T00:00:00"/>
    <n v="343.1"/>
    <n v="65.900000000000006"/>
    <n v="5.2063732928679816"/>
    <n v="1.5"/>
    <n v="3"/>
    <n v="53.3"/>
    <n v="88.6"/>
  </r>
  <r>
    <x v="8"/>
    <s v="Driver I"/>
    <d v="2026-02-23T00:00:00"/>
    <n v="229.7"/>
    <n v="48"/>
    <n v="4.7854166666666664"/>
    <n v="2.7"/>
    <n v="4"/>
    <n v="45.4"/>
    <n v="95.7"/>
  </r>
  <r>
    <x v="8"/>
    <s v="Driver I"/>
    <d v="2026-03-01T00:00:00"/>
    <n v="98.5"/>
    <n v="19.7"/>
    <n v="5"/>
    <n v="4"/>
    <n v="5"/>
    <n v="46.2"/>
    <n v="95.2"/>
  </r>
  <r>
    <x v="8"/>
    <s v="Driver I"/>
    <d v="2026-01-07T00:00:00"/>
    <n v="267.60000000000002"/>
    <n v="62.4"/>
    <n v="4.2884615384615392"/>
    <n v="1.8"/>
    <n v="4"/>
    <n v="33.5"/>
    <n v="91.7"/>
  </r>
  <r>
    <x v="8"/>
    <s v="Driver I"/>
    <d v="2026-01-01T00:00:00"/>
    <n v="202.3"/>
    <n v="42.9"/>
    <n v="4.7156177156177161"/>
    <n v="0.9"/>
    <n v="3"/>
    <n v="71.8"/>
    <n v="94"/>
  </r>
  <r>
    <x v="8"/>
    <s v="Driver I"/>
    <d v="2026-01-25T00:00:00"/>
    <n v="122.4"/>
    <n v="26.5"/>
    <n v="4.6188679245283017"/>
    <n v="2.6"/>
    <n v="1"/>
    <n v="68.3"/>
    <n v="99"/>
  </r>
  <r>
    <x v="8"/>
    <s v="Driver I"/>
    <d v="2026-01-18T00:00:00"/>
    <n v="409.8"/>
    <n v="123"/>
    <n v="3.331707317073171"/>
    <n v="3.4"/>
    <n v="2"/>
    <n v="62.7"/>
    <n v="98.4"/>
  </r>
  <r>
    <x v="8"/>
    <s v="Driver I"/>
    <d v="2026-02-01T00:00:00"/>
    <n v="186.3"/>
    <n v="48.1"/>
    <n v="3.8731808731808735"/>
    <n v="3.4"/>
    <n v="6"/>
    <n v="33.4"/>
    <n v="99"/>
  </r>
  <r>
    <x v="8"/>
    <s v="Driver I"/>
    <d v="2026-03-31T00:00:00"/>
    <n v="357.4"/>
    <n v="106.1"/>
    <n v="3.3685202639019791"/>
    <n v="1.9"/>
    <n v="2"/>
    <n v="32.9"/>
    <n v="98.2"/>
  </r>
  <r>
    <x v="8"/>
    <s v="Driver I"/>
    <d v="2026-02-22T00:00:00"/>
    <n v="149.6"/>
    <n v="50.1"/>
    <n v="2.9860279441117763"/>
    <n v="0.8"/>
    <n v="2"/>
    <n v="58.7"/>
    <n v="94.3"/>
  </r>
  <r>
    <x v="8"/>
    <s v="Driver I"/>
    <d v="2026-03-31T00:00:00"/>
    <n v="310.39999999999998"/>
    <n v="93.9"/>
    <n v="3.305644302449414"/>
    <n v="0.3"/>
    <n v="1"/>
    <n v="73.599999999999994"/>
    <n v="85.3"/>
  </r>
  <r>
    <x v="8"/>
    <s v="Driver I"/>
    <d v="2026-01-20T00:00:00"/>
    <n v="368.3"/>
    <n v="119.3"/>
    <n v="3.0871751886001677"/>
    <n v="1"/>
    <n v="5"/>
    <n v="57.3"/>
    <n v="94.2"/>
  </r>
  <r>
    <x v="8"/>
    <s v="Driver I"/>
    <d v="2026-01-09T00:00:00"/>
    <n v="193.9"/>
    <n v="46.5"/>
    <n v="4.1698924731182796"/>
    <n v="1.6"/>
    <n v="1"/>
    <n v="35.1"/>
    <n v="90"/>
  </r>
  <r>
    <x v="8"/>
    <s v="Driver I"/>
    <d v="2026-02-07T00:00:00"/>
    <n v="252.8"/>
    <n v="47.5"/>
    <n v="5.3221052631578951"/>
    <n v="2.9"/>
    <n v="5"/>
    <n v="64.599999999999994"/>
    <n v="95.4"/>
  </r>
  <r>
    <x v="8"/>
    <s v="Driver I"/>
    <d v="2026-02-03T00:00:00"/>
    <n v="145.80000000000001"/>
    <n v="48.8"/>
    <n v="2.9877049180327875"/>
    <n v="4.4000000000000004"/>
    <n v="4"/>
    <n v="57.5"/>
    <n v="87.7"/>
  </r>
  <r>
    <x v="8"/>
    <s v="Driver I"/>
    <d v="2026-01-02T00:00:00"/>
    <n v="350.1"/>
    <n v="73.099999999999994"/>
    <n v="4.7893296853625174"/>
    <n v="1.3"/>
    <n v="6"/>
    <n v="49.5"/>
    <n v="88.3"/>
  </r>
  <r>
    <x v="8"/>
    <s v="Driver I"/>
    <d v="2026-02-23T00:00:00"/>
    <n v="144.69999999999999"/>
    <n v="35.700000000000003"/>
    <n v="4.0532212885154051"/>
    <n v="2.6"/>
    <n v="3"/>
    <n v="39"/>
    <n v="97.5"/>
  </r>
  <r>
    <x v="9"/>
    <s v="Driver J"/>
    <d v="2026-02-25T00:00:00"/>
    <n v="138.5"/>
    <n v="49.3"/>
    <n v="2.8093306288032456"/>
    <n v="3.3"/>
    <n v="5"/>
    <n v="73.7"/>
    <n v="96.4"/>
  </r>
  <r>
    <x v="9"/>
    <s v="Driver J"/>
    <d v="2026-01-31T00:00:00"/>
    <n v="101.4"/>
    <n v="19.600000000000001"/>
    <n v="5.1734693877551017"/>
    <n v="4.3"/>
    <n v="2"/>
    <n v="62.9"/>
    <n v="97.2"/>
  </r>
  <r>
    <x v="9"/>
    <s v="Driver J"/>
    <d v="2026-02-28T00:00:00"/>
    <n v="197"/>
    <n v="40.799999999999997"/>
    <n v="4.8284313725490202"/>
    <n v="0.5"/>
    <n v="8"/>
    <n v="58"/>
    <n v="93.4"/>
  </r>
  <r>
    <x v="9"/>
    <s v="Driver J"/>
    <d v="2026-02-19T00:00:00"/>
    <n v="395.8"/>
    <n v="73.599999999999994"/>
    <n v="5.3777173913043486"/>
    <n v="2"/>
    <n v="4"/>
    <n v="52"/>
    <n v="89.1"/>
  </r>
  <r>
    <x v="9"/>
    <s v="Driver J"/>
    <d v="2026-01-29T00:00:00"/>
    <n v="229.6"/>
    <n v="66.400000000000006"/>
    <n v="3.4578313253012043"/>
    <n v="3.1"/>
    <n v="6"/>
    <n v="51.3"/>
    <n v="93"/>
  </r>
  <r>
    <x v="9"/>
    <s v="Driver J"/>
    <d v="2026-01-11T00:00:00"/>
    <n v="447.7"/>
    <n v="143.5"/>
    <n v="3.1198606271777001"/>
    <n v="3.5"/>
    <n v="4"/>
    <n v="64.900000000000006"/>
    <n v="90.7"/>
  </r>
  <r>
    <x v="9"/>
    <s v="Driver J"/>
    <d v="2026-02-26T00:00:00"/>
    <n v="126"/>
    <n v="27"/>
    <n v="4.666666666666667"/>
    <n v="3.2"/>
    <n v="5"/>
    <n v="52.5"/>
    <n v="92.4"/>
  </r>
  <r>
    <x v="9"/>
    <s v="Driver J"/>
    <d v="2026-03-26T00:00:00"/>
    <n v="429.7"/>
    <n v="86"/>
    <n v="4.996511627906977"/>
    <n v="2.6"/>
    <n v="8"/>
    <n v="34"/>
    <n v="88.8"/>
  </r>
  <r>
    <x v="9"/>
    <s v="Driver J"/>
    <d v="2026-02-26T00:00:00"/>
    <n v="405.9"/>
    <n v="98.8"/>
    <n v="4.1082995951417001"/>
    <n v="0.3"/>
    <n v="4"/>
    <n v="61.9"/>
    <n v="89.7"/>
  </r>
  <r>
    <x v="9"/>
    <s v="Driver J"/>
    <d v="2026-01-30T00:00:00"/>
    <n v="304.60000000000002"/>
    <n v="81.2"/>
    <n v="3.7512315270935961"/>
    <n v="2.9"/>
    <n v="5"/>
    <n v="60.5"/>
    <n v="95.8"/>
  </r>
  <r>
    <x v="9"/>
    <s v="Driver J"/>
    <d v="2026-02-28T00:00:00"/>
    <n v="267.10000000000002"/>
    <n v="67.400000000000006"/>
    <n v="3.9629080118694362"/>
    <m/>
    <n v="2"/>
    <n v="68.400000000000006"/>
    <n v="94.8"/>
  </r>
  <r>
    <x v="9"/>
    <s v="Driver J"/>
    <d v="2026-03-18T00:00:00"/>
    <n v="195.6"/>
    <n v="63.5"/>
    <n v="3.0803149606299214"/>
    <n v="2.4"/>
    <n v="3"/>
    <n v="59.6"/>
    <n v="88.4"/>
  </r>
  <r>
    <x v="9"/>
    <s v="Driver J"/>
    <d v="2026-02-13T00:00:00"/>
    <n v="209.9"/>
    <n v="63.8"/>
    <n v="3.2899686520376177"/>
    <n v="0.8"/>
    <n v="7"/>
    <n v="33.1"/>
    <n v="96.1"/>
  </r>
  <r>
    <x v="9"/>
    <s v="Driver J"/>
    <d v="2026-02-20T00:00:00"/>
    <n v="449.9"/>
    <n v="94.9"/>
    <n v="4.7407797681770276"/>
    <n v="2.5"/>
    <n v="7"/>
    <n v="67.099999999999994"/>
    <n v="86.1"/>
  </r>
  <r>
    <x v="9"/>
    <s v="Driver J"/>
    <d v="2026-01-22T00:00:00"/>
    <n v="139.9"/>
    <n v="26.3"/>
    <n v="5.3193916349809891"/>
    <n v="1.2"/>
    <n v="5"/>
    <n v="68.099999999999994"/>
    <n v="88.8"/>
  </r>
  <r>
    <x v="9"/>
    <s v="Driver J"/>
    <d v="2026-02-11T00:00:00"/>
    <n v="185.6"/>
    <n v="62.7"/>
    <n v="2.9601275917065388"/>
    <n v="3.5"/>
    <n v="4"/>
    <n v="54.1"/>
    <n v="95.8"/>
  </r>
  <r>
    <x v="9"/>
    <s v="Driver J"/>
    <d v="2026-02-18T00:00:00"/>
    <n v="148"/>
    <n v="34.799999999999997"/>
    <n v="4.2528735632183912"/>
    <n v="1.2"/>
    <n v="4"/>
    <n v="43.5"/>
    <n v="95.6"/>
  </r>
  <r>
    <x v="9"/>
    <s v="Driver J"/>
    <d v="2026-01-31T00:00:00"/>
    <n v="173.5"/>
    <n v="53.9"/>
    <n v="3.2189239332096475"/>
    <n v="2"/>
    <n v="7"/>
    <n v="33.299999999999997"/>
    <n v="99.9"/>
  </r>
  <r>
    <x v="9"/>
    <s v="Driver J"/>
    <d v="2026-03-20T00:00:00"/>
    <n v="298.39999999999998"/>
    <n v="64.7"/>
    <n v="4.6120556414219465"/>
    <m/>
    <n v="4"/>
    <n v="43.7"/>
    <n v="87.7"/>
  </r>
  <r>
    <x v="9"/>
    <s v="Driver J"/>
    <d v="2026-03-15T00:00:00"/>
    <n v="178.9"/>
    <n v="35"/>
    <n v="5.1114285714285712"/>
    <n v="4.4000000000000004"/>
    <n v="2"/>
    <n v="36.1"/>
    <n v="96.3"/>
  </r>
  <r>
    <x v="9"/>
    <s v="Driver J"/>
    <d v="2026-01-18T00:00:00"/>
    <n v="221.6"/>
    <n v="44.4"/>
    <n v="4.9909909909909906"/>
    <n v="4"/>
    <n v="3"/>
    <n v="33.1"/>
    <n v="93.4"/>
  </r>
  <r>
    <x v="9"/>
    <s v="Driver J"/>
    <d v="2026-01-27T00:00:00"/>
    <n v="271.60000000000002"/>
    <n v="65"/>
    <n v="4.1784615384615389"/>
    <n v="3.4"/>
    <n v="5"/>
    <n v="59.1"/>
    <n v="96.8"/>
  </r>
  <r>
    <x v="9"/>
    <s v="Driver J"/>
    <d v="2026-01-14T00:00:00"/>
    <n v="155.9"/>
    <n v="28.6"/>
    <n v="5.4510489510489508"/>
    <n v="2"/>
    <n v="1"/>
    <n v="73.8"/>
    <n v="87.1"/>
  </r>
  <r>
    <x v="9"/>
    <s v="Driver J"/>
    <d v="2026-02-09T00:00:00"/>
    <n v="183.7"/>
    <n v="44.5"/>
    <n v="4.1280898876404493"/>
    <n v="3.2"/>
    <n v="2"/>
    <n v="73.8"/>
    <n v="88.4"/>
  </r>
  <r>
    <x v="9"/>
    <s v="Driver J"/>
    <d v="2026-02-26T00:00:00"/>
    <n v="366.4"/>
    <n v="99.9"/>
    <n v="3.6676676676676672"/>
    <n v="3.3"/>
    <n v="2"/>
    <n v="38.5"/>
    <n v="88.2"/>
  </r>
  <r>
    <x v="9"/>
    <s v="Driver J"/>
    <d v="2026-01-04T00:00:00"/>
    <n v="223"/>
    <n v="68.8"/>
    <n v="3.2412790697674421"/>
    <n v="2.7"/>
    <n v="4"/>
    <n v="68.599999999999994"/>
    <n v="94.7"/>
  </r>
  <r>
    <x v="9"/>
    <s v="Driver J"/>
    <d v="2026-02-08T00:00:00"/>
    <n v="333.2"/>
    <n v="81.3"/>
    <n v="4.0984009840098405"/>
    <n v="1.6"/>
    <n v="5"/>
    <n v="58.8"/>
    <n v="97.9"/>
  </r>
  <r>
    <x v="9"/>
    <s v="Driver J"/>
    <d v="2026-01-15T00:00:00"/>
    <n v="370.4"/>
    <n v="89.4"/>
    <n v="4.1431767337807601"/>
    <n v="2.8"/>
    <n v="5"/>
    <n v="67.400000000000006"/>
    <n v="99.6"/>
  </r>
  <r>
    <x v="9"/>
    <s v="Driver J"/>
    <d v="2026-03-29T00:00:00"/>
    <n v="207.8"/>
    <n v="45"/>
    <n v="4.6177777777777784"/>
    <n v="4.4000000000000004"/>
    <n v="3"/>
    <n v="52.7"/>
    <n v="95.4"/>
  </r>
  <r>
    <x v="9"/>
    <s v="Driver J"/>
    <d v="2026-01-27T00:00:00"/>
    <n v="358.8"/>
    <n v="124.3"/>
    <n v="2.8865647626709574"/>
    <n v="3.7"/>
    <n v="2"/>
    <n v="57.7"/>
    <n v="95.1"/>
  </r>
  <r>
    <x v="9"/>
    <s v="Driver J"/>
    <d v="2026-01-18T00:00:00"/>
    <n v="251.9"/>
    <n v="60.3"/>
    <n v="4.1774461028192373"/>
    <n v="1.9"/>
    <n v="1"/>
    <n v="59.8"/>
    <n v="97.7"/>
  </r>
  <r>
    <x v="9"/>
    <s v="Driver J"/>
    <d v="2026-02-11T00:00:00"/>
    <n v="138.69999999999999"/>
    <n v="29.1"/>
    <n v="4.7663230240549819"/>
    <n v="3.4"/>
    <n v="2"/>
    <n v="41.4"/>
    <n v="94.6"/>
  </r>
  <r>
    <x v="9"/>
    <s v="Driver J"/>
    <d v="2026-02-03T00:00:00"/>
    <n v="280.39999999999998"/>
    <n v="69.599999999999994"/>
    <n v="4.0287356321839081"/>
    <n v="3.5"/>
    <n v="7"/>
    <n v="63"/>
    <n v="98.2"/>
  </r>
  <r>
    <x v="9"/>
    <s v="Driver J"/>
    <d v="2026-03-20T00:00:00"/>
    <n v="324.5"/>
    <n v="69.2"/>
    <n v="4.6893063583815024"/>
    <n v="2.7"/>
    <n v="3"/>
    <n v="73.5"/>
    <n v="96.2"/>
  </r>
  <r>
    <x v="9"/>
    <s v="Driver J"/>
    <d v="2026-02-24T00:00:00"/>
    <n v="305.3"/>
    <n v="83.5"/>
    <n v="3.6562874251497006"/>
    <n v="2.5"/>
    <n v="6"/>
    <n v="71.7"/>
    <n v="94.2"/>
  </r>
  <r>
    <x v="9"/>
    <s v="Driver J"/>
    <d v="2026-02-10T00:00:00"/>
    <n v="342.6"/>
    <n v="97"/>
    <n v="3.5319587628865983"/>
    <n v="0.6"/>
    <n v="4"/>
    <n v="46.7"/>
    <n v="97.4"/>
  </r>
  <r>
    <x v="9"/>
    <s v="Driver J"/>
    <d v="2026-01-28T00:00:00"/>
    <n v="274.3"/>
    <n v="83.8"/>
    <n v="3.2732696897374702"/>
    <n v="1.8"/>
    <n v="1"/>
    <n v="65"/>
    <n v="98.7"/>
  </r>
  <r>
    <x v="9"/>
    <s v="Driver J"/>
    <d v="2026-03-15T00:00:00"/>
    <n v="170.6"/>
    <n v="57"/>
    <n v="2.9929824561403509"/>
    <n v="2.8"/>
    <n v="6"/>
    <n v="54.3"/>
    <n v="85.8"/>
  </r>
  <r>
    <x v="9"/>
    <s v="Driver J"/>
    <d v="2026-03-10T00:00:00"/>
    <n v="250.6"/>
    <n v="57"/>
    <n v="4.3964912280701753"/>
    <n v="1.2"/>
    <n v="4"/>
    <n v="54.7"/>
    <n v="99.6"/>
  </r>
  <r>
    <x v="9"/>
    <s v="Driver J"/>
    <d v="2026-03-21T00:00:00"/>
    <n v="90.1"/>
    <n v="21.9"/>
    <n v="4.1141552511415522"/>
    <m/>
    <n v="2"/>
    <n v="68.3"/>
    <n v="89.2"/>
  </r>
  <r>
    <x v="9"/>
    <s v="Driver J"/>
    <d v="2026-02-27T00:00:00"/>
    <n v="221.3"/>
    <n v="60.6"/>
    <n v="3.6518151815181521"/>
    <n v="2.5"/>
    <n v="1"/>
    <n v="34.4"/>
    <n v="93"/>
  </r>
  <r>
    <x v="9"/>
    <s v="Driver J"/>
    <d v="2026-02-23T00:00:00"/>
    <n v="438.7"/>
    <n v="102.9"/>
    <n v="4.2633624878522838"/>
    <n v="0.8"/>
    <n v="6"/>
    <n v="48.9"/>
    <n v="96.1"/>
  </r>
  <r>
    <x v="9"/>
    <s v="Driver J"/>
    <d v="2026-01-22T00:00:00"/>
    <n v="372"/>
    <n v="109"/>
    <n v="3.4128440366972477"/>
    <n v="1.8"/>
    <n v="5"/>
    <n v="64.599999999999994"/>
    <n v="85.7"/>
  </r>
  <r>
    <x v="9"/>
    <s v="Driver J"/>
    <d v="2026-03-15T00:00:00"/>
    <n v="326.7"/>
    <n v="65.900000000000006"/>
    <n v="4.9575113808801206"/>
    <n v="3.3"/>
    <n v="8"/>
    <n v="45.2"/>
    <n v="86.7"/>
  </r>
  <r>
    <x v="9"/>
    <s v="Driver J"/>
    <d v="2026-03-12T00:00:00"/>
    <n v="261.5"/>
    <n v="52.1"/>
    <n v="5.0191938579654511"/>
    <n v="1.5"/>
    <n v="5"/>
    <n v="52.2"/>
    <n v="96.1"/>
  </r>
  <r>
    <x v="9"/>
    <s v="Driver J"/>
    <d v="2026-02-23T00:00:00"/>
    <n v="146.4"/>
    <n v="27.9"/>
    <n v="5.2473118279569899"/>
    <n v="3"/>
    <n v="1"/>
    <n v="35.4"/>
    <n v="89.2"/>
  </r>
  <r>
    <x v="10"/>
    <s v="Driver K"/>
    <d v="2026-01-28T00:00:00"/>
    <n v="322.5"/>
    <n v="83.4"/>
    <n v="3.8669064748201438"/>
    <n v="4.0999999999999996"/>
    <n v="8"/>
    <n v="36.4"/>
    <n v="87.1"/>
  </r>
  <r>
    <x v="10"/>
    <s v="Driver K"/>
    <d v="2026-01-27T00:00:00"/>
    <n v="334.4"/>
    <n v="65.5"/>
    <n v="5.1053435114503811"/>
    <n v="2.4"/>
    <n v="5"/>
    <n v="70.7"/>
    <n v="97.7"/>
  </r>
  <r>
    <x v="10"/>
    <s v="Driver K"/>
    <d v="2026-03-21T00:00:00"/>
    <n v="196.1"/>
    <n v="38.5"/>
    <n v="5.0935064935064931"/>
    <n v="3.3"/>
    <n v="5"/>
    <n v="52.8"/>
    <n v="95"/>
  </r>
  <r>
    <x v="10"/>
    <s v="Driver K"/>
    <d v="2026-02-21T00:00:00"/>
    <n v="338"/>
    <n v="78.7"/>
    <n v="4.2947903430749683"/>
    <n v="1"/>
    <n v="7"/>
    <n v="60.5"/>
    <n v="98.5"/>
  </r>
  <r>
    <x v="10"/>
    <s v="Driver K"/>
    <d v="2026-01-02T00:00:00"/>
    <n v="394.3"/>
    <n v="78.5"/>
    <n v="5.0229299363057329"/>
    <n v="0.7"/>
    <n v="6"/>
    <n v="58.6"/>
    <n v="97.4"/>
  </r>
  <r>
    <x v="10"/>
    <s v="Driver K"/>
    <d v="2026-01-16T00:00:00"/>
    <n v="354.9"/>
    <n v="66.099999999999994"/>
    <n v="5.3691376701966718"/>
    <n v="3.2"/>
    <n v="4"/>
    <n v="39.700000000000003"/>
    <n v="92.3"/>
  </r>
  <r>
    <x v="10"/>
    <s v="Driver K"/>
    <d v="2026-01-15T00:00:00"/>
    <n v="253.3"/>
    <n v="84.3"/>
    <n v="3.0047449584816137"/>
    <n v="3.4"/>
    <n v="4"/>
    <n v="68.7"/>
    <n v="95.9"/>
  </r>
  <r>
    <x v="10"/>
    <s v="Driver K"/>
    <d v="2026-02-24T00:00:00"/>
    <n v="195.6"/>
    <n v="56.1"/>
    <n v="3.4866310160427805"/>
    <n v="4.3"/>
    <n v="8"/>
    <n v="33"/>
    <n v="97.5"/>
  </r>
  <r>
    <x v="10"/>
    <s v="Driver K"/>
    <d v="2026-03-27T00:00:00"/>
    <n v="125.2"/>
    <n v="33.299999999999997"/>
    <n v="3.7597597597597603"/>
    <n v="3.1"/>
    <n v="7"/>
    <n v="69.099999999999994"/>
    <n v="95.8"/>
  </r>
  <r>
    <x v="10"/>
    <s v="Driver K"/>
    <d v="2026-03-14T00:00:00"/>
    <n v="300.60000000000002"/>
    <n v="58"/>
    <n v="5.1827586206896559"/>
    <n v="0.9"/>
    <n v="1"/>
    <n v="60.3"/>
    <n v="89.1"/>
  </r>
  <r>
    <x v="10"/>
    <s v="Driver K"/>
    <d v="2026-01-29T00:00:00"/>
    <n v="203.2"/>
    <n v="62.4"/>
    <n v="3.2564102564102564"/>
    <n v="2.4"/>
    <n v="2"/>
    <n v="53.9"/>
    <n v="87.9"/>
  </r>
  <r>
    <x v="10"/>
    <s v="Driver K"/>
    <d v="2026-01-11T00:00:00"/>
    <n v="266.7"/>
    <n v="81.7"/>
    <n v="3.2643818849449202"/>
    <n v="1.3"/>
    <n v="8"/>
    <n v="74.599999999999994"/>
    <n v="92.9"/>
  </r>
  <r>
    <x v="10"/>
    <s v="Driver K"/>
    <d v="2026-01-09T00:00:00"/>
    <n v="202"/>
    <n v="46.9"/>
    <n v="4.3070362473347545"/>
    <n v="1.9"/>
    <n v="5"/>
    <n v="62.6"/>
    <n v="94.8"/>
  </r>
  <r>
    <x v="10"/>
    <s v="Driver K"/>
    <d v="2026-03-27T00:00:00"/>
    <n v="208.5"/>
    <n v="70.099999999999994"/>
    <n v="2.9743223965763197"/>
    <n v="2.5"/>
    <n v="5"/>
    <n v="68.3"/>
    <n v="95.7"/>
  </r>
  <r>
    <x v="10"/>
    <s v="Driver K"/>
    <d v="2026-03-24T00:00:00"/>
    <n v="107.4"/>
    <n v="26.5"/>
    <n v="4.0528301886792457"/>
    <n v="2.4"/>
    <n v="3"/>
    <n v="69.5"/>
    <n v="96.7"/>
  </r>
  <r>
    <x v="10"/>
    <s v="Driver K"/>
    <d v="2026-03-08T00:00:00"/>
    <n v="243.5"/>
    <n v="52.5"/>
    <n v="4.6380952380952385"/>
    <n v="3.3"/>
    <n v="8"/>
    <n v="34.1"/>
    <n v="92.7"/>
  </r>
  <r>
    <x v="10"/>
    <s v="Driver K"/>
    <d v="2026-03-24T00:00:00"/>
    <n v="109.3"/>
    <n v="27.2"/>
    <n v="4.0183823529411766"/>
    <n v="1.8"/>
    <n v="4"/>
    <n v="32.299999999999997"/>
    <n v="90.7"/>
  </r>
  <r>
    <x v="10"/>
    <s v="Driver K"/>
    <d v="2026-02-08T00:00:00"/>
    <n v="434.1"/>
    <n v="152.80000000000001"/>
    <n v="2.8409685863874343"/>
    <n v="4.2"/>
    <n v="2"/>
    <n v="63.6"/>
    <n v="96.3"/>
  </r>
  <r>
    <x v="10"/>
    <s v="Driver K"/>
    <d v="2026-02-07T00:00:00"/>
    <n v="351.9"/>
    <n v="78"/>
    <n v="4.5115384615384615"/>
    <n v="4.4000000000000004"/>
    <n v="4"/>
    <n v="44.7"/>
    <n v="89.2"/>
  </r>
  <r>
    <x v="10"/>
    <s v="Driver K"/>
    <d v="2026-03-12T00:00:00"/>
    <n v="293.8"/>
    <n v="67.900000000000006"/>
    <n v="4.3269513991163473"/>
    <n v="2.2999999999999998"/>
    <n v="6"/>
    <n v="70.2"/>
    <n v="96.4"/>
  </r>
  <r>
    <x v="10"/>
    <s v="Driver K"/>
    <d v="2026-02-20T00:00:00"/>
    <n v="297"/>
    <n v="61.1"/>
    <n v="4.8608837970540097"/>
    <n v="3"/>
    <n v="2"/>
    <n v="44"/>
    <n v="91.6"/>
  </r>
  <r>
    <x v="10"/>
    <s v="Driver K"/>
    <d v="2026-02-04T00:00:00"/>
    <n v="385.6"/>
    <n v="88.8"/>
    <n v="4.3423423423423424"/>
    <n v="0.7"/>
    <n v="1"/>
    <n v="38.1"/>
    <n v="97.1"/>
  </r>
  <r>
    <x v="10"/>
    <s v="Driver K"/>
    <d v="2026-02-27T00:00:00"/>
    <n v="180.6"/>
    <n v="60.2"/>
    <n v="2.9999999999999996"/>
    <n v="1.1000000000000001"/>
    <n v="2"/>
    <n v="37"/>
    <n v="87.5"/>
  </r>
  <r>
    <x v="10"/>
    <s v="Driver K"/>
    <d v="2026-01-08T00:00:00"/>
    <n v="88.1"/>
    <n v="20.100000000000001"/>
    <n v="4.3830845771144276"/>
    <n v="4.0999999999999996"/>
    <n v="2"/>
    <n v="68.099999999999994"/>
    <n v="97.9"/>
  </r>
  <r>
    <x v="10"/>
    <s v="Driver K"/>
    <d v="2026-01-22T00:00:00"/>
    <n v="315.39999999999998"/>
    <n v="58.4"/>
    <n v="5.4006849315068495"/>
    <n v="3.7"/>
    <n v="6"/>
    <n v="50.1"/>
    <n v="89"/>
  </r>
  <r>
    <x v="10"/>
    <s v="Driver K"/>
    <d v="2026-03-30T00:00:00"/>
    <n v="167.9"/>
    <n v="34.9"/>
    <n v="4.8108882521489971"/>
    <n v="4.2"/>
    <n v="6"/>
    <n v="30.9"/>
    <n v="97.3"/>
  </r>
  <r>
    <x v="10"/>
    <s v="Driver K"/>
    <d v="2026-03-08T00:00:00"/>
    <n v="273.5"/>
    <n v="58.3"/>
    <n v="4.6912521440823332"/>
    <n v="0.6"/>
    <n v="4"/>
    <n v="51.7"/>
    <n v="95"/>
  </r>
  <r>
    <x v="10"/>
    <s v="Driver K"/>
    <d v="2026-02-15T00:00:00"/>
    <n v="387.1"/>
    <n v="71.599999999999994"/>
    <n v="5.4064245810055871"/>
    <n v="1.5"/>
    <n v="6"/>
    <n v="61.6"/>
    <n v="85.7"/>
  </r>
  <r>
    <x v="10"/>
    <s v="Driver K"/>
    <d v="2026-01-15T00:00:00"/>
    <n v="361.5"/>
    <n v="83.7"/>
    <n v="4.3189964157706093"/>
    <n v="2.7"/>
    <n v="7"/>
    <n v="60.3"/>
    <n v="98.4"/>
  </r>
  <r>
    <x v="10"/>
    <s v="Driver K"/>
    <d v="2026-02-18T00:00:00"/>
    <n v="418.9"/>
    <n v="78.3"/>
    <n v="5.3499361430395913"/>
    <n v="1.9"/>
    <n v="5"/>
    <n v="31.1"/>
    <n v="92.8"/>
  </r>
  <r>
    <x v="10"/>
    <s v="Driver K"/>
    <d v="2026-03-04T00:00:00"/>
    <n v="246.7"/>
    <n v="55.3"/>
    <n v="4.4611211573236886"/>
    <n v="1.5"/>
    <n v="3"/>
    <n v="55.4"/>
    <n v="90.5"/>
  </r>
  <r>
    <x v="10"/>
    <s v="Driver K"/>
    <d v="2026-02-24T00:00:00"/>
    <n v="142.4"/>
    <n v="39.1"/>
    <n v="3.6419437340153453"/>
    <n v="3.6"/>
    <n v="7"/>
    <n v="42.5"/>
    <n v="90.4"/>
  </r>
  <r>
    <x v="10"/>
    <s v="Driver K"/>
    <d v="2026-03-03T00:00:00"/>
    <n v="251.3"/>
    <n v="66.7"/>
    <n v="3.7676161919040481"/>
    <n v="1.5"/>
    <n v="2"/>
    <n v="37.9"/>
    <n v="94.1"/>
  </r>
  <r>
    <x v="10"/>
    <s v="Driver K"/>
    <d v="2026-03-05T00:00:00"/>
    <n v="412.3"/>
    <n v="79.599999999999994"/>
    <n v="5.1796482412060305"/>
    <n v="2.7"/>
    <n v="5"/>
    <n v="52.1"/>
    <n v="99.8"/>
  </r>
  <r>
    <x v="10"/>
    <s v="Driver K"/>
    <d v="2026-02-23T00:00:00"/>
    <n v="313.60000000000002"/>
    <n v="72.2"/>
    <n v="4.3434903047091415"/>
    <n v="3.9"/>
    <n v="2"/>
    <n v="33.6"/>
    <n v="90.2"/>
  </r>
  <r>
    <x v="10"/>
    <s v="Driver K"/>
    <d v="2026-02-10T00:00:00"/>
    <n v="321.60000000000002"/>
    <n v="68.2"/>
    <n v="4.7155425219941352"/>
    <n v="2.8"/>
    <n v="7"/>
    <n v="42.2"/>
    <n v="91.7"/>
  </r>
  <r>
    <x v="10"/>
    <s v="Driver K"/>
    <d v="2026-01-11T00:00:00"/>
    <n v="392.1"/>
    <n v="73"/>
    <n v="5.3712328767123294"/>
    <n v="0.4"/>
    <n v="7"/>
    <n v="33.200000000000003"/>
    <n v="92.1"/>
  </r>
  <r>
    <x v="10"/>
    <s v="Driver K"/>
    <d v="2026-03-22T00:00:00"/>
    <n v="102.2"/>
    <n v="27.2"/>
    <n v="3.757352941176471"/>
    <n v="0.9"/>
    <n v="2"/>
    <n v="35.700000000000003"/>
    <n v="88.5"/>
  </r>
  <r>
    <x v="10"/>
    <s v="Driver K"/>
    <d v="2026-03-11T00:00:00"/>
    <n v="289"/>
    <n v="78.5"/>
    <n v="3.6815286624203822"/>
    <n v="3.2"/>
    <n v="3"/>
    <n v="32.299999999999997"/>
    <n v="96"/>
  </r>
  <r>
    <x v="10"/>
    <s v="Driver K"/>
    <d v="2026-01-27T00:00:00"/>
    <n v="353.8"/>
    <n v="104.9"/>
    <n v="3.3727359389895137"/>
    <n v="2.5"/>
    <n v="5"/>
    <n v="54.7"/>
    <n v="94.3"/>
  </r>
  <r>
    <x v="10"/>
    <s v="Driver K"/>
    <d v="2026-03-01T00:00:00"/>
    <n v="370.1"/>
    <n v="94.5"/>
    <n v="3.9164021164021166"/>
    <n v="3.4"/>
    <n v="5"/>
    <n v="55.4"/>
    <n v="95.2"/>
  </r>
  <r>
    <x v="10"/>
    <s v="Driver K"/>
    <d v="2026-03-13T00:00:00"/>
    <n v="116.1"/>
    <n v="29"/>
    <n v="4.0034482758620689"/>
    <n v="1.5"/>
    <n v="7"/>
    <n v="33.1"/>
    <n v="86.6"/>
  </r>
  <r>
    <x v="10"/>
    <s v="Driver K"/>
    <d v="2026-02-08T00:00:00"/>
    <n v="291"/>
    <n v="55.3"/>
    <n v="5.2622061482820977"/>
    <n v="1.5"/>
    <n v="7"/>
    <n v="62.3"/>
    <n v="98.7"/>
  </r>
  <r>
    <x v="10"/>
    <s v="Driver K"/>
    <d v="2026-02-02T00:00:00"/>
    <n v="139.9"/>
    <n v="46.6"/>
    <n v="3.0021459227467813"/>
    <n v="3.5"/>
    <n v="7"/>
    <n v="47.5"/>
    <n v="99.9"/>
  </r>
  <r>
    <x v="10"/>
    <s v="Driver K"/>
    <d v="2026-03-28T00:00:00"/>
    <n v="228.7"/>
    <n v="73.2"/>
    <n v="3.12431693989071"/>
    <n v="3.1"/>
    <n v="3"/>
    <n v="44.5"/>
    <n v="99.5"/>
  </r>
  <r>
    <x v="10"/>
    <s v="Driver K"/>
    <d v="2026-01-30T00:00:00"/>
    <n v="368.2"/>
    <n v="100"/>
    <n v="3.6819999999999999"/>
    <n v="0.6"/>
    <n v="7"/>
    <n v="69.099999999999994"/>
    <n v="90.6"/>
  </r>
  <r>
    <x v="10"/>
    <s v="Driver K"/>
    <d v="2026-01-29T00:00:00"/>
    <n v="408"/>
    <n v="92.1"/>
    <n v="4.4299674267100979"/>
    <n v="3.6"/>
    <n v="3"/>
    <n v="56"/>
    <n v="93.3"/>
  </r>
  <r>
    <x v="10"/>
    <s v="Driver K"/>
    <d v="2026-03-09T00:00:00"/>
    <n v="92.1"/>
    <n v="23.3"/>
    <n v="3.9527896995708152"/>
    <n v="1.4"/>
    <n v="4"/>
    <n v="65.400000000000006"/>
    <n v="86.2"/>
  </r>
  <r>
    <x v="10"/>
    <s v="Driver K"/>
    <d v="2026-01-08T00:00:00"/>
    <n v="270.5"/>
    <n v="51.5"/>
    <n v="5.2524271844660193"/>
    <n v="1.8"/>
    <n v="1"/>
    <n v="35"/>
    <n v="90.5"/>
  </r>
  <r>
    <x v="10"/>
    <s v="Driver K"/>
    <d v="2026-02-15T00:00:00"/>
    <n v="412.2"/>
    <n v="99.1"/>
    <n v="4.1594349142280524"/>
    <n v="2"/>
    <n v="1"/>
    <n v="32.9"/>
    <n v="90.2"/>
  </r>
  <r>
    <x v="10"/>
    <s v="Driver K"/>
    <d v="2026-03-04T00:00:00"/>
    <n v="299.5"/>
    <n v="64"/>
    <n v="4.6796875"/>
    <n v="3.8"/>
    <n v="8"/>
    <n v="50.6"/>
    <n v="93.5"/>
  </r>
  <r>
    <x v="10"/>
    <s v="Driver K"/>
    <d v="2026-01-20T00:00:00"/>
    <n v="81.599999999999994"/>
    <n v="17"/>
    <n v="4.8"/>
    <n v="4.4000000000000004"/>
    <n v="6"/>
    <n v="59.1"/>
    <n v="89.4"/>
  </r>
  <r>
    <x v="11"/>
    <s v="Driver L"/>
    <d v="2026-03-19T00:00:00"/>
    <n v="177.9"/>
    <n v="61"/>
    <n v="2.916393442622951"/>
    <n v="2.2000000000000002"/>
    <n v="2"/>
    <n v="73.8"/>
    <n v="90.7"/>
  </r>
  <r>
    <x v="11"/>
    <s v="Driver L"/>
    <d v="2026-01-21T00:00:00"/>
    <n v="217"/>
    <n v="64.5"/>
    <n v="3.364341085271318"/>
    <n v="1.3"/>
    <n v="2"/>
    <n v="57.4"/>
    <n v="87.6"/>
  </r>
  <r>
    <x v="11"/>
    <s v="Driver L"/>
    <d v="2026-02-06T00:00:00"/>
    <n v="138.4"/>
    <n v="27.4"/>
    <n v="5.0510948905109494"/>
    <n v="3.2"/>
    <n v="1"/>
    <n v="60.1"/>
    <n v="93.3"/>
  </r>
  <r>
    <x v="11"/>
    <s v="Driver L"/>
    <d v="2026-03-21T00:00:00"/>
    <n v="359.9"/>
    <n v="80.2"/>
    <n v="4.4875311720698248"/>
    <n v="3.5"/>
    <n v="4"/>
    <n v="42"/>
    <n v="87"/>
  </r>
  <r>
    <x v="11"/>
    <s v="Driver L"/>
    <d v="2026-02-25T00:00:00"/>
    <n v="133.9"/>
    <n v="31.6"/>
    <n v="4.2373417721518987"/>
    <n v="2.6"/>
    <n v="3"/>
    <n v="37.6"/>
    <n v="86.2"/>
  </r>
  <r>
    <x v="11"/>
    <s v="Driver L"/>
    <d v="2026-03-09T00:00:00"/>
    <n v="265.7"/>
    <n v="75.099999999999994"/>
    <n v="3.5379494007989347"/>
    <n v="0.9"/>
    <n v="8"/>
    <n v="73.5"/>
    <n v="89.4"/>
  </r>
  <r>
    <x v="11"/>
    <s v="Driver L"/>
    <d v="2026-01-08T00:00:00"/>
    <n v="227.3"/>
    <n v="68.599999999999994"/>
    <n v="3.3134110787172015"/>
    <n v="0.7"/>
    <n v="8"/>
    <n v="34.1"/>
    <n v="88.2"/>
  </r>
  <r>
    <x v="11"/>
    <s v="Driver L"/>
    <d v="2026-02-14T00:00:00"/>
    <n v="349.1"/>
    <n v="69.7"/>
    <n v="5.0086083213773316"/>
    <n v="3.7"/>
    <n v="4"/>
    <n v="34.6"/>
    <n v="88.8"/>
  </r>
  <r>
    <x v="11"/>
    <s v="Driver L"/>
    <d v="2026-01-03T00:00:00"/>
    <n v="214.2"/>
    <n v="65.2"/>
    <n v="3.2852760736196314"/>
    <n v="1.1000000000000001"/>
    <n v="8"/>
    <n v="38.6"/>
    <n v="100"/>
  </r>
  <r>
    <x v="11"/>
    <s v="Driver L"/>
    <d v="2026-03-28T00:00:00"/>
    <n v="346.2"/>
    <n v="63.9"/>
    <n v="5.4178403755868541"/>
    <n v="2.8"/>
    <n v="8"/>
    <n v="40.5"/>
    <n v="88.6"/>
  </r>
  <r>
    <x v="11"/>
    <s v="Driver L"/>
    <d v="2026-03-12T00:00:00"/>
    <n v="291.7"/>
    <n v="71.8"/>
    <n v="4.0626740947075213"/>
    <n v="4.4000000000000004"/>
    <n v="3"/>
    <n v="57.5"/>
    <n v="86.3"/>
  </r>
  <r>
    <x v="11"/>
    <s v="Driver L"/>
    <d v="2026-02-21T00:00:00"/>
    <n v="128.4"/>
    <n v="33.799999999999997"/>
    <n v="3.7988165680473376"/>
    <n v="2.6"/>
    <n v="6"/>
    <n v="40.9"/>
    <n v="86.8"/>
  </r>
  <r>
    <x v="11"/>
    <s v="Driver L"/>
    <d v="2026-01-07T00:00:00"/>
    <n v="98.7"/>
    <n v="23.9"/>
    <n v="4.1297071129707117"/>
    <n v="4"/>
    <n v="8"/>
    <n v="42.9"/>
    <n v="85.1"/>
  </r>
  <r>
    <x v="11"/>
    <s v="Driver L"/>
    <d v="2026-01-19T00:00:00"/>
    <n v="153.69999999999999"/>
    <n v="36.799999999999997"/>
    <n v="4.1766304347826084"/>
    <n v="2.4"/>
    <n v="1"/>
    <n v="31.8"/>
    <n v="95.7"/>
  </r>
  <r>
    <x v="11"/>
    <s v="Driver L"/>
    <d v="2026-01-10T00:00:00"/>
    <n v="419.4"/>
    <n v="135.19999999999999"/>
    <n v="3.1020710059171597"/>
    <n v="3.8"/>
    <n v="4"/>
    <n v="55.8"/>
    <n v="87.2"/>
  </r>
  <r>
    <x v="11"/>
    <s v="Driver L"/>
    <d v="2026-03-31T00:00:00"/>
    <n v="411.3"/>
    <n v="96.8"/>
    <n v="4.2489669421487601"/>
    <n v="2.9"/>
    <n v="2"/>
    <n v="34.9"/>
    <n v="88.7"/>
  </r>
  <r>
    <x v="11"/>
    <s v="Driver L"/>
    <d v="2026-01-22T00:00:00"/>
    <n v="319.39999999999998"/>
    <n v="109.4"/>
    <n v="2.9195612431444236"/>
    <n v="4.4000000000000004"/>
    <n v="7"/>
    <n v="73.5"/>
    <n v="90"/>
  </r>
  <r>
    <x v="11"/>
    <s v="Driver L"/>
    <d v="2026-02-10T00:00:00"/>
    <n v="128.80000000000001"/>
    <n v="25.1"/>
    <n v="5.1314741035856573"/>
    <n v="2.6"/>
    <n v="6"/>
    <n v="54.6"/>
    <n v="87.6"/>
  </r>
  <r>
    <x v="11"/>
    <s v="Driver L"/>
    <d v="2026-03-17T00:00:00"/>
    <n v="90.4"/>
    <n v="19.3"/>
    <n v="4.6839378238341967"/>
    <n v="4.3"/>
    <n v="3"/>
    <n v="55.3"/>
    <n v="87.8"/>
  </r>
  <r>
    <x v="11"/>
    <s v="Driver L"/>
    <d v="2026-03-25T00:00:00"/>
    <n v="373.1"/>
    <n v="97.8"/>
    <n v="3.8149284253578735"/>
    <n v="3"/>
    <n v="1"/>
    <n v="56.7"/>
    <n v="85.7"/>
  </r>
  <r>
    <x v="11"/>
    <s v="Driver L"/>
    <d v="2026-02-22T00:00:00"/>
    <n v="189.3"/>
    <n v="65.099999999999994"/>
    <n v="2.9078341013824889"/>
    <n v="2.2999999999999998"/>
    <n v="4"/>
    <n v="61"/>
    <n v="92.2"/>
  </r>
  <r>
    <x v="11"/>
    <s v="Driver L"/>
    <d v="2026-02-26T00:00:00"/>
    <n v="433.4"/>
    <n v="123"/>
    <n v="3.5235772357723576"/>
    <n v="3.4"/>
    <n v="6"/>
    <n v="66.7"/>
    <n v="87.7"/>
  </r>
  <r>
    <x v="11"/>
    <s v="Driver L"/>
    <d v="2026-03-07T00:00:00"/>
    <n v="377"/>
    <n v="94.2"/>
    <n v="4.0021231422505306"/>
    <n v="0.4"/>
    <n v="4"/>
    <n v="44.4"/>
    <n v="86.2"/>
  </r>
  <r>
    <x v="11"/>
    <s v="Driver L"/>
    <d v="2026-01-28T00:00:00"/>
    <n v="232.7"/>
    <n v="51.2"/>
    <n v="4.5449218749999991"/>
    <n v="2.4"/>
    <n v="3"/>
    <n v="38.299999999999997"/>
    <n v="94.3"/>
  </r>
  <r>
    <x v="11"/>
    <s v="Driver L"/>
    <d v="2026-03-13T00:00:00"/>
    <n v="286.3"/>
    <n v="57.4"/>
    <n v="4.9878048780487809"/>
    <n v="1.7"/>
    <n v="7"/>
    <n v="35.5"/>
    <n v="98"/>
  </r>
  <r>
    <x v="11"/>
    <s v="Driver L"/>
    <d v="2026-03-17T00:00:00"/>
    <n v="272.7"/>
    <n v="67.900000000000006"/>
    <n v="4.0162002945508091"/>
    <n v="0.9"/>
    <n v="1"/>
    <n v="35.6"/>
    <n v="88.5"/>
  </r>
  <r>
    <x v="11"/>
    <s v="Driver L"/>
    <d v="2026-03-13T00:00:00"/>
    <n v="355.1"/>
    <n v="68.2"/>
    <n v="5.2067448680351909"/>
    <n v="3.7"/>
    <n v="1"/>
    <n v="67.099999999999994"/>
    <n v="89"/>
  </r>
  <r>
    <x v="11"/>
    <s v="Driver L"/>
    <d v="2026-01-14T00:00:00"/>
    <n v="87.1"/>
    <n v="16.899999999999999"/>
    <n v="5.1538461538461542"/>
    <n v="3"/>
    <n v="4"/>
    <n v="74.099999999999994"/>
    <n v="92.6"/>
  </r>
  <r>
    <x v="11"/>
    <s v="Driver L"/>
    <d v="2026-02-15T00:00:00"/>
    <n v="311.3"/>
    <n v="90.6"/>
    <n v="3.4359823399558502"/>
    <n v="4.4000000000000004"/>
    <n v="5"/>
    <n v="66.5"/>
    <n v="94.4"/>
  </r>
  <r>
    <x v="11"/>
    <s v="Driver L"/>
    <d v="2026-01-05T00:00:00"/>
    <n v="114.5"/>
    <n v="31.7"/>
    <n v="3.6119873817034702"/>
    <n v="1.8"/>
    <n v="7"/>
    <n v="66.900000000000006"/>
    <n v="96.4"/>
  </r>
  <r>
    <x v="11"/>
    <s v="Driver L"/>
    <d v="2026-03-19T00:00:00"/>
    <n v="292.60000000000002"/>
    <n v="70.099999999999994"/>
    <n v="4.1740370898716126"/>
    <n v="1.9"/>
    <n v="2"/>
    <n v="44.7"/>
    <n v="94.7"/>
  </r>
  <r>
    <x v="11"/>
    <s v="Driver L"/>
    <d v="2026-01-15T00:00:00"/>
    <n v="294.7"/>
    <n v="54.6"/>
    <n v="5.3974358974358969"/>
    <n v="0.5"/>
    <n v="5"/>
    <n v="50.9"/>
    <n v="86.2"/>
  </r>
  <r>
    <x v="11"/>
    <s v="Driver L"/>
    <d v="2026-02-25T00:00:00"/>
    <n v="305.89999999999998"/>
    <n v="67.099999999999994"/>
    <n v="4.5588673621460511"/>
    <n v="1.4"/>
    <n v="5"/>
    <n v="42"/>
    <n v="86.5"/>
  </r>
  <r>
    <x v="11"/>
    <s v="Driver L"/>
    <d v="2026-03-04T00:00:00"/>
    <n v="111.4"/>
    <n v="24.7"/>
    <n v="4.5101214574898787"/>
    <n v="3.4"/>
    <n v="3"/>
    <n v="31.6"/>
    <n v="85.4"/>
  </r>
  <r>
    <x v="11"/>
    <s v="Driver L"/>
    <d v="2026-03-12T00:00:00"/>
    <n v="141.1"/>
    <n v="40.799999999999997"/>
    <n v="3.4583333333333335"/>
    <n v="2.7"/>
    <n v="3"/>
    <n v="34.5"/>
    <n v="97.7"/>
  </r>
  <r>
    <x v="11"/>
    <s v="Driver L"/>
    <d v="2026-02-06T00:00:00"/>
    <n v="248.7"/>
    <n v="76.5"/>
    <n v="3.2509803921568627"/>
    <n v="4.2"/>
    <n v="5"/>
    <n v="38.200000000000003"/>
    <n v="87.6"/>
  </r>
  <r>
    <x v="11"/>
    <s v="Driver L"/>
    <d v="2026-01-12T00:00:00"/>
    <n v="200.8"/>
    <n v="45.2"/>
    <n v="4.4424778761061949"/>
    <n v="1"/>
    <n v="4"/>
    <n v="65.2"/>
    <m/>
  </r>
  <r>
    <x v="11"/>
    <s v="Driver L"/>
    <d v="2026-01-13T00:00:00"/>
    <n v="277.7"/>
    <n v="74.099999999999994"/>
    <n v="3.7476383265856952"/>
    <n v="0.8"/>
    <n v="3"/>
    <n v="53.3"/>
    <n v="90.6"/>
  </r>
  <r>
    <x v="11"/>
    <s v="Driver L"/>
    <d v="2026-03-19T00:00:00"/>
    <n v="177.9"/>
    <n v="61"/>
    <n v="2.916393442622951"/>
    <n v="2.2000000000000002"/>
    <n v="2"/>
    <n v="73.8"/>
    <n v="90.7"/>
  </r>
  <r>
    <x v="12"/>
    <s v="Driver M"/>
    <d v="2026-02-03T00:00:00"/>
    <n v="422.8"/>
    <n v="85.9"/>
    <n v="4.9220023282887073"/>
    <n v="1.4"/>
    <n v="8"/>
    <n v="37"/>
    <n v="89.5"/>
  </r>
  <r>
    <x v="12"/>
    <s v="Driver M"/>
    <d v="2026-02-12T00:00:00"/>
    <n v="183.1"/>
    <n v="61.3"/>
    <n v="2.9869494290375203"/>
    <n v="3.5"/>
    <n v="6"/>
    <n v="58.9"/>
    <n v="91"/>
  </r>
  <r>
    <x v="12"/>
    <s v="Driver M"/>
    <d v="2026-03-15T00:00:00"/>
    <n v="150.30000000000001"/>
    <n v="51.5"/>
    <n v="2.9184466019417479"/>
    <n v="2.1"/>
    <n v="4"/>
    <n v="46.4"/>
    <n v="86"/>
  </r>
  <r>
    <x v="12"/>
    <s v="Driver M"/>
    <d v="2026-03-16T00:00:00"/>
    <n v="430"/>
    <n v="150.69999999999999"/>
    <n v="2.8533510285335106"/>
    <n v="4"/>
    <n v="7"/>
    <n v="51.5"/>
    <n v="99.1"/>
  </r>
  <r>
    <x v="12"/>
    <s v="Driver M"/>
    <d v="2026-02-20T00:00:00"/>
    <n v="428.3"/>
    <n v="128.4"/>
    <n v="3.3356697819314642"/>
    <n v="2.7"/>
    <n v="4"/>
    <n v="34.6"/>
    <n v="96.6"/>
  </r>
  <r>
    <x v="12"/>
    <s v="Driver M"/>
    <d v="2026-02-28T00:00:00"/>
    <n v="425.2"/>
    <n v="82.6"/>
    <n v="5.1476997578692494"/>
    <n v="4.4000000000000004"/>
    <n v="4"/>
    <n v="55.7"/>
    <n v="88.5"/>
  </r>
  <r>
    <x v="12"/>
    <s v="Driver M"/>
    <d v="2026-03-21T00:00:00"/>
    <n v="332.8"/>
    <n v="80.3"/>
    <n v="4.1444582814445834"/>
    <n v="2.7"/>
    <n v="4"/>
    <n v="50.8"/>
    <n v="88.8"/>
  </r>
  <r>
    <x v="12"/>
    <s v="Driver M"/>
    <d v="2026-02-05T00:00:00"/>
    <n v="83"/>
    <n v="16.2"/>
    <n v="5.1234567901234573"/>
    <n v="3.5"/>
    <n v="1"/>
    <n v="71"/>
    <n v="96.2"/>
  </r>
  <r>
    <x v="12"/>
    <s v="Driver M"/>
    <d v="2026-03-13T00:00:00"/>
    <n v="215.3"/>
    <n v="43.6"/>
    <n v="4.9380733944954134"/>
    <n v="0.3"/>
    <n v="2"/>
    <n v="50.5"/>
    <n v="95.1"/>
  </r>
  <r>
    <x v="12"/>
    <s v="Driver M"/>
    <d v="2026-03-10T00:00:00"/>
    <n v="340.4"/>
    <n v="82"/>
    <n v="4.1512195121951221"/>
    <n v="3.8"/>
    <n v="6"/>
    <n v="33.200000000000003"/>
    <n v="97.9"/>
  </r>
  <r>
    <x v="12"/>
    <s v="Driver M"/>
    <d v="2026-01-17T00:00:00"/>
    <n v="300.2"/>
    <n v="56.3"/>
    <n v="5.3321492007104796"/>
    <n v="1.5"/>
    <n v="7"/>
    <n v="59"/>
    <n v="89.9"/>
  </r>
  <r>
    <x v="12"/>
    <s v="Driver M"/>
    <d v="2026-02-17T00:00:00"/>
    <n v="173.9"/>
    <n v="61.1"/>
    <n v="2.8461538461538463"/>
    <n v="3.6"/>
    <n v="6"/>
    <n v="40.9"/>
    <n v="94.9"/>
  </r>
  <r>
    <x v="12"/>
    <s v="Driver M"/>
    <d v="2026-03-20T00:00:00"/>
    <n v="353.5"/>
    <n v="98"/>
    <n v="3.6071428571428572"/>
    <n v="1.6"/>
    <n v="8"/>
    <n v="61.9"/>
    <n v="89.5"/>
  </r>
  <r>
    <x v="12"/>
    <s v="Driver M"/>
    <d v="2026-02-24T00:00:00"/>
    <n v="270.7"/>
    <n v="89.2"/>
    <n v="3.0347533632286994"/>
    <n v="3.1"/>
    <n v="3"/>
    <n v="74.2"/>
    <n v="92.2"/>
  </r>
  <r>
    <x v="12"/>
    <s v="Driver M"/>
    <d v="2026-02-18T00:00:00"/>
    <n v="109.7"/>
    <n v="20.3"/>
    <n v="5.4039408866995071"/>
    <n v="4"/>
    <n v="3"/>
    <n v="59.4"/>
    <n v="90.2"/>
  </r>
  <r>
    <x v="12"/>
    <s v="Driver M"/>
    <d v="2026-01-11T00:00:00"/>
    <n v="218"/>
    <n v="56"/>
    <n v="3.8928571428571428"/>
    <n v="2.6"/>
    <n v="4"/>
    <n v="43.5"/>
    <n v="97.4"/>
  </r>
  <r>
    <x v="12"/>
    <s v="Driver M"/>
    <d v="2026-01-18T00:00:00"/>
    <n v="372.5"/>
    <n v="79.900000000000006"/>
    <n v="4.6620775969962454"/>
    <n v="0.5"/>
    <n v="6"/>
    <n v="32.4"/>
    <n v="91.6"/>
  </r>
  <r>
    <x v="12"/>
    <s v="Driver M"/>
    <d v="2026-02-16T00:00:00"/>
    <n v="122.1"/>
    <n v="28.2"/>
    <n v="4.3297872340425529"/>
    <n v="2.7"/>
    <n v="3"/>
    <n v="60.7"/>
    <n v="93.3"/>
  </r>
  <r>
    <x v="12"/>
    <s v="Driver M"/>
    <d v="2026-03-06T00:00:00"/>
    <n v="186"/>
    <n v="39.4"/>
    <n v="4.7208121827411169"/>
    <n v="3.5"/>
    <n v="7"/>
    <n v="61.6"/>
    <n v="86.2"/>
  </r>
  <r>
    <x v="12"/>
    <s v="Driver M"/>
    <d v="2026-01-20T00:00:00"/>
    <n v="146.19999999999999"/>
    <n v="27.1"/>
    <n v="5.3948339483394827"/>
    <n v="0.4"/>
    <n v="7"/>
    <n v="40.1"/>
    <n v="88.7"/>
  </r>
  <r>
    <x v="12"/>
    <s v="Driver M"/>
    <d v="2026-01-18T00:00:00"/>
    <n v="368.8"/>
    <n v="87.5"/>
    <n v="4.2148571428571433"/>
    <n v="2.6"/>
    <n v="3"/>
    <n v="38.700000000000003"/>
    <n v="97.5"/>
  </r>
  <r>
    <x v="12"/>
    <s v="Driver M"/>
    <d v="2026-01-03T00:00:00"/>
    <n v="164.5"/>
    <n v="34.5"/>
    <n v="4.7681159420289854"/>
    <n v="0.8"/>
    <n v="1"/>
    <n v="56.5"/>
    <n v="87.5"/>
  </r>
  <r>
    <x v="12"/>
    <s v="Driver M"/>
    <d v="2026-02-21T00:00:00"/>
    <n v="436.1"/>
    <n v="123.4"/>
    <n v="3.5340356564019451"/>
    <n v="1.9"/>
    <n v="8"/>
    <n v="66"/>
    <n v="94.7"/>
  </r>
  <r>
    <x v="12"/>
    <s v="Driver M"/>
    <d v="2026-01-20T00:00:00"/>
    <n v="390.4"/>
    <n v="90.6"/>
    <n v="4.3090507726269314"/>
    <n v="4.4000000000000004"/>
    <n v="1"/>
    <n v="30.5"/>
    <n v="99"/>
  </r>
  <r>
    <x v="12"/>
    <s v="Driver M"/>
    <d v="2026-02-22T00:00:00"/>
    <n v="93.3"/>
    <n v="21.8"/>
    <n v="4.2798165137614674"/>
    <n v="3.8"/>
    <n v="5"/>
    <n v="70.099999999999994"/>
    <n v="93.4"/>
  </r>
  <r>
    <x v="12"/>
    <s v="Driver M"/>
    <d v="2026-02-19T00:00:00"/>
    <n v="234.1"/>
    <n v="47.5"/>
    <n v="4.9284210526315793"/>
    <n v="3.1"/>
    <n v="1"/>
    <n v="30.6"/>
    <n v="88.8"/>
  </r>
  <r>
    <x v="12"/>
    <s v="Driver M"/>
    <d v="2026-03-18T00:00:00"/>
    <n v="438.6"/>
    <n v="97"/>
    <n v="4.5216494845360824"/>
    <n v="4"/>
    <n v="5"/>
    <n v="72.599999999999994"/>
    <n v="88.2"/>
  </r>
  <r>
    <x v="12"/>
    <s v="Driver M"/>
    <d v="2026-01-18T00:00:00"/>
    <n v="396.3"/>
    <n v="86.5"/>
    <n v="4.5815028901734109"/>
    <n v="3.4"/>
    <n v="8"/>
    <n v="65.2"/>
    <n v="99.2"/>
  </r>
  <r>
    <x v="12"/>
    <s v="Driver M"/>
    <d v="2026-03-26T00:00:00"/>
    <n v="261.3"/>
    <n v="58.3"/>
    <n v="4.4819897084048028"/>
    <n v="2.7"/>
    <n v="1"/>
    <n v="46.5"/>
    <n v="94.1"/>
  </r>
  <r>
    <x v="12"/>
    <s v="Driver M"/>
    <d v="2026-01-25T00:00:00"/>
    <n v="151.5"/>
    <n v="33.1"/>
    <n v="4.5770392749244708"/>
    <n v="2.7"/>
    <n v="3"/>
    <n v="55.1"/>
    <n v="93.4"/>
  </r>
  <r>
    <x v="12"/>
    <s v="Driver M"/>
    <d v="2026-02-27T00:00:00"/>
    <n v="358.6"/>
    <n v="82.4"/>
    <n v="4.3519417475728153"/>
    <n v="0.6"/>
    <n v="7"/>
    <n v="43"/>
    <n v="90.9"/>
  </r>
  <r>
    <x v="12"/>
    <s v="Driver M"/>
    <d v="2026-01-04T00:00:00"/>
    <n v="429.3"/>
    <n v="80.099999999999994"/>
    <n v="5.3595505617977537"/>
    <n v="1.2"/>
    <n v="6"/>
    <n v="70.400000000000006"/>
    <n v="94.9"/>
  </r>
  <r>
    <x v="12"/>
    <s v="Driver M"/>
    <d v="2026-03-14T00:00:00"/>
    <n v="307.89999999999998"/>
    <n v="107"/>
    <n v="2.8775700934579436"/>
    <n v="1"/>
    <n v="6"/>
    <n v="67.5"/>
    <n v="98.8"/>
  </r>
  <r>
    <x v="12"/>
    <s v="Driver M"/>
    <d v="2026-03-08T00:00:00"/>
    <n v="122.9"/>
    <n v="33.799999999999997"/>
    <n v="3.6360946745562135"/>
    <n v="0.4"/>
    <n v="2"/>
    <n v="45"/>
    <n v="98.3"/>
  </r>
  <r>
    <x v="12"/>
    <s v="Driver M"/>
    <d v="2026-01-09T00:00:00"/>
    <n v="206.1"/>
    <n v="41.2"/>
    <n v="5.0024271844660193"/>
    <n v="2.7"/>
    <n v="7"/>
    <n v="55.5"/>
    <n v="90.1"/>
  </r>
  <r>
    <x v="13"/>
    <s v="Driver N"/>
    <d v="2026-02-13T00:00:00"/>
    <n v="182.8"/>
    <n v="54.1"/>
    <n v="3.378927911275416"/>
    <n v="3.5"/>
    <n v="2"/>
    <n v="34.200000000000003"/>
    <n v="86.5"/>
  </r>
  <r>
    <x v="13"/>
    <s v="Driver N"/>
    <d v="2026-03-18T00:00:00"/>
    <n v="103.5"/>
    <n v="27"/>
    <n v="3.8333333333333335"/>
    <n v="4.5"/>
    <n v="5"/>
    <n v="73.7"/>
    <n v="97.9"/>
  </r>
  <r>
    <x v="13"/>
    <s v="Driver N"/>
    <d v="2026-01-25T00:00:00"/>
    <n v="114.9"/>
    <n v="25.1"/>
    <n v="4.5776892430278888"/>
    <n v="1.7"/>
    <n v="7"/>
    <n v="51"/>
    <n v="95.9"/>
  </r>
  <r>
    <x v="13"/>
    <s v="Driver N"/>
    <d v="2026-03-27T00:00:00"/>
    <n v="399.7"/>
    <n v="80.099999999999994"/>
    <n v="4.9900124843945068"/>
    <n v="1.3"/>
    <n v="2"/>
    <n v="47.2"/>
    <n v="85.6"/>
  </r>
  <r>
    <x v="13"/>
    <s v="Driver N"/>
    <d v="2026-03-12T00:00:00"/>
    <n v="202.4"/>
    <n v="43.1"/>
    <n v="4.6960556844547563"/>
    <n v="1.4"/>
    <n v="5"/>
    <n v="40.4"/>
    <n v="95.8"/>
  </r>
  <r>
    <x v="13"/>
    <s v="Driver N"/>
    <d v="2026-02-27T00:00:00"/>
    <n v="335.1"/>
    <n v="82.4"/>
    <n v="4.066747572815534"/>
    <n v="0.3"/>
    <n v="5"/>
    <n v="61.8"/>
    <n v="95.5"/>
  </r>
  <r>
    <x v="13"/>
    <s v="Driver N"/>
    <d v="2026-02-13T00:00:00"/>
    <n v="425.7"/>
    <n v="102.1"/>
    <n v="4.1694417238001957"/>
    <n v="3.7"/>
    <n v="5"/>
    <n v="62.7"/>
    <n v="97.6"/>
  </r>
  <r>
    <x v="13"/>
    <s v="Driver N"/>
    <d v="2026-01-06T00:00:00"/>
    <n v="197.7"/>
    <n v="48.5"/>
    <n v="4.0762886597938142"/>
    <n v="4.0999999999999996"/>
    <n v="7"/>
    <n v="47.4"/>
    <n v="95"/>
  </r>
  <r>
    <x v="13"/>
    <s v="Driver N"/>
    <d v="2026-01-15T00:00:00"/>
    <n v="131.69999999999999"/>
    <n v="24.6"/>
    <n v="5.3536585365853648"/>
    <n v="1.5"/>
    <n v="8"/>
    <n v="35.200000000000003"/>
    <n v="88.5"/>
  </r>
  <r>
    <x v="13"/>
    <s v="Driver N"/>
    <d v="2026-03-25T00:00:00"/>
    <n v="116.6"/>
    <n v="28.3"/>
    <n v="4.1201413427561837"/>
    <n v="2"/>
    <n v="5"/>
    <n v="31.5"/>
    <n v="90.6"/>
  </r>
  <r>
    <x v="13"/>
    <s v="Driver N"/>
    <d v="2026-03-09T00:00:00"/>
    <n v="122.1"/>
    <n v="41.1"/>
    <n v="2.9708029197080288"/>
    <n v="2.1"/>
    <n v="6"/>
    <n v="53.1"/>
    <n v="86.6"/>
  </r>
  <r>
    <x v="13"/>
    <s v="Driver N"/>
    <d v="2026-03-04T00:00:00"/>
    <n v="304.60000000000002"/>
    <n v="77.7"/>
    <n v="3.9202059202059205"/>
    <n v="1.1000000000000001"/>
    <n v="2"/>
    <n v="45.5"/>
    <n v="86.7"/>
  </r>
  <r>
    <x v="13"/>
    <s v="Driver N"/>
    <d v="2026-02-07T00:00:00"/>
    <n v="122.6"/>
    <n v="42.9"/>
    <n v="2.8578088578088576"/>
    <n v="1.6"/>
    <n v="8"/>
    <n v="67.400000000000006"/>
    <n v="98.8"/>
  </r>
  <r>
    <x v="13"/>
    <s v="Driver N"/>
    <d v="2026-02-21T00:00:00"/>
    <n v="355"/>
    <n v="68.099999999999994"/>
    <n v="5.2129221732745963"/>
    <n v="1.9"/>
    <n v="3"/>
    <n v="52.3"/>
    <n v="92.5"/>
  </r>
  <r>
    <x v="13"/>
    <s v="Driver N"/>
    <d v="2026-01-14T00:00:00"/>
    <n v="83.9"/>
    <n v="24"/>
    <n v="3.4958333333333336"/>
    <n v="2.4"/>
    <n v="4"/>
    <n v="50.1"/>
    <n v="90.9"/>
  </r>
  <r>
    <x v="13"/>
    <s v="Driver N"/>
    <d v="2026-01-08T00:00:00"/>
    <n v="447.2"/>
    <n v="87"/>
    <n v="5.1402298850574715"/>
    <n v="0.7"/>
    <n v="3"/>
    <n v="41.2"/>
    <n v="95.7"/>
  </r>
  <r>
    <x v="13"/>
    <s v="Driver N"/>
    <d v="2026-01-26T00:00:00"/>
    <n v="448.4"/>
    <n v="85.3"/>
    <n v="5.2567409144196953"/>
    <n v="4"/>
    <n v="5"/>
    <n v="37.200000000000003"/>
    <n v="99"/>
  </r>
  <r>
    <x v="13"/>
    <s v="Driver N"/>
    <d v="2026-02-04T00:00:00"/>
    <n v="273.8"/>
    <n v="78"/>
    <n v="3.5102564102564102"/>
    <n v="4.4000000000000004"/>
    <n v="2"/>
    <n v="52.3"/>
    <n v="92.7"/>
  </r>
  <r>
    <x v="13"/>
    <s v="Driver N"/>
    <d v="2026-01-22T00:00:00"/>
    <n v="407.3"/>
    <n v="98.6"/>
    <n v="4.1308316430020291"/>
    <n v="1.8"/>
    <n v="7"/>
    <n v="34.6"/>
    <n v="92.2"/>
  </r>
  <r>
    <x v="13"/>
    <s v="Driver N"/>
    <d v="2026-03-04T00:00:00"/>
    <n v="361"/>
    <n v="70.2"/>
    <n v="5.1424501424501425"/>
    <n v="3.7"/>
    <n v="3"/>
    <n v="33"/>
    <n v="95.6"/>
  </r>
  <r>
    <x v="13"/>
    <s v="Driver N"/>
    <d v="2026-03-14T00:00:00"/>
    <n v="410.4"/>
    <n v="75.099999999999994"/>
    <n v="5.4647137150466047"/>
    <n v="0.8"/>
    <n v="3"/>
    <n v="65.099999999999994"/>
    <n v="92.3"/>
  </r>
  <r>
    <x v="13"/>
    <s v="Driver N"/>
    <d v="2026-01-15T00:00:00"/>
    <n v="115.1"/>
    <n v="23.7"/>
    <n v="4.8565400843881852"/>
    <n v="0.4"/>
    <n v="3"/>
    <n v="59.9"/>
    <n v="87.6"/>
  </r>
  <r>
    <x v="13"/>
    <s v="Driver N"/>
    <d v="2026-02-02T00:00:00"/>
    <n v="149.9"/>
    <n v="31.8"/>
    <n v="4.7138364779874218"/>
    <n v="3.6"/>
    <n v="2"/>
    <n v="53.4"/>
    <n v="90.6"/>
  </r>
  <r>
    <x v="13"/>
    <s v="Driver N"/>
    <d v="2026-03-31T00:00:00"/>
    <n v="358.3"/>
    <n v="94.6"/>
    <n v="3.7875264270613109"/>
    <n v="1.9"/>
    <n v="8"/>
    <n v="38.1"/>
    <n v="87"/>
  </r>
  <r>
    <x v="13"/>
    <s v="Driver N"/>
    <d v="2026-02-20T00:00:00"/>
    <n v="172.5"/>
    <n v="36.5"/>
    <n v="4.7260273972602738"/>
    <n v="3"/>
    <n v="7"/>
    <n v="39.9"/>
    <n v="86.2"/>
  </r>
  <r>
    <x v="13"/>
    <s v="Driver N"/>
    <d v="2026-03-31T00:00:00"/>
    <n v="128.19999999999999"/>
    <n v="40.5"/>
    <n v="3.1654320987654319"/>
    <n v="2.6"/>
    <n v="8"/>
    <n v="47.8"/>
    <n v="93.6"/>
  </r>
  <r>
    <x v="13"/>
    <s v="Driver N"/>
    <d v="2026-02-09T00:00:00"/>
    <n v="416.6"/>
    <n v="112.9"/>
    <n v="3.6899911426040743"/>
    <n v="2.5"/>
    <n v="4"/>
    <n v="59.4"/>
    <n v="93.7"/>
  </r>
  <r>
    <x v="13"/>
    <s v="Driver N"/>
    <d v="2026-01-02T00:00:00"/>
    <n v="422.4"/>
    <n v="78.7"/>
    <n v="5.3672172808132146"/>
    <n v="1.2"/>
    <n v="4"/>
    <n v="64.099999999999994"/>
    <n v="86"/>
  </r>
  <r>
    <x v="13"/>
    <s v="Driver N"/>
    <d v="2026-01-06T00:00:00"/>
    <n v="203.5"/>
    <n v="47.2"/>
    <n v="4.3114406779661012"/>
    <n v="2.9"/>
    <n v="1"/>
    <n v="58.8"/>
    <n v="95.4"/>
  </r>
  <r>
    <x v="13"/>
    <s v="Driver N"/>
    <d v="2026-03-12T00:00:00"/>
    <n v="383.4"/>
    <n v="99.9"/>
    <n v="3.8378378378378373"/>
    <n v="1.2"/>
    <n v="7"/>
    <n v="57.2"/>
    <n v="93.7"/>
  </r>
  <r>
    <x v="13"/>
    <s v="Driver N"/>
    <d v="2026-02-19T00:00:00"/>
    <n v="168"/>
    <n v="42.1"/>
    <n v="3.9904988123515439"/>
    <n v="2.9"/>
    <n v="4"/>
    <n v="56"/>
    <n v="97.6"/>
  </r>
  <r>
    <x v="13"/>
    <s v="Driver N"/>
    <d v="2026-02-17T00:00:00"/>
    <n v="222.9"/>
    <n v="78.7"/>
    <n v="2.8322744599745868"/>
    <n v="1.7"/>
    <n v="5"/>
    <n v="74"/>
    <n v="98.1"/>
  </r>
  <r>
    <x v="13"/>
    <s v="Driver N"/>
    <d v="2026-02-23T00:00:00"/>
    <n v="131.6"/>
    <n v="30"/>
    <n v="4.3866666666666667"/>
    <n v="0.6"/>
    <n v="4"/>
    <n v="43.6"/>
    <n v="99.8"/>
  </r>
  <r>
    <x v="13"/>
    <s v="Driver N"/>
    <d v="2026-02-13T00:00:00"/>
    <n v="182.8"/>
    <n v="54.1"/>
    <n v="3.378927911275416"/>
    <n v="3.5"/>
    <n v="2"/>
    <n v="34.200000000000003"/>
    <n v="86.5"/>
  </r>
  <r>
    <x v="14"/>
    <s v="Driver O"/>
    <d v="2026-03-08T00:00:00"/>
    <n v="247"/>
    <n v="71.2"/>
    <n v="3.4691011235955056"/>
    <n v="0.5"/>
    <n v="1"/>
    <n v="56.5"/>
    <n v="88.5"/>
  </r>
  <r>
    <x v="14"/>
    <s v="Driver O"/>
    <d v="2026-03-12T00:00:00"/>
    <n v="341.1"/>
    <n v="79.099999999999994"/>
    <n v="4.312262958280658"/>
    <n v="0.7"/>
    <n v="3"/>
    <n v="54.6"/>
    <n v="97.5"/>
  </r>
  <r>
    <x v="14"/>
    <s v="Driver O"/>
    <d v="2026-01-24T00:00:00"/>
    <n v="98.6"/>
    <n v="25.8"/>
    <n v="3.8217054263565888"/>
    <n v="1.1000000000000001"/>
    <n v="6"/>
    <n v="45.2"/>
    <n v="98.2"/>
  </r>
  <r>
    <x v="14"/>
    <s v="Driver O"/>
    <d v="2026-03-14T00:00:00"/>
    <n v="305.8"/>
    <n v="80"/>
    <n v="3.8225000000000002"/>
    <n v="0.3"/>
    <n v="6"/>
    <n v="38.200000000000003"/>
    <n v="88.2"/>
  </r>
  <r>
    <x v="14"/>
    <s v="Driver O"/>
    <d v="2026-02-08T00:00:00"/>
    <n v="398.3"/>
    <n v="72.8"/>
    <n v="5.4711538461538467"/>
    <n v="1.5"/>
    <n v="1"/>
    <n v="57.4"/>
    <n v="96.1"/>
  </r>
  <r>
    <x v="14"/>
    <s v="Driver O"/>
    <d v="2026-01-10T00:00:00"/>
    <n v="334.3"/>
    <n v="63.1"/>
    <n v="5.2979397781299529"/>
    <n v="3.6"/>
    <n v="4"/>
    <n v="49.1"/>
    <n v="93.2"/>
  </r>
  <r>
    <x v="14"/>
    <s v="Driver O"/>
    <d v="2026-01-13T00:00:00"/>
    <n v="274.60000000000002"/>
    <n v="68.099999999999994"/>
    <n v="4.0323054331864912"/>
    <n v="3.3"/>
    <n v="7"/>
    <n v="69.2"/>
    <n v="99.5"/>
  </r>
  <r>
    <x v="14"/>
    <s v="Driver O"/>
    <d v="2026-02-26T00:00:00"/>
    <n v="431.7"/>
    <n v="84.5"/>
    <n v="5.1088757396449704"/>
    <n v="0.6"/>
    <n v="6"/>
    <n v="54.5"/>
    <n v="99.7"/>
  </r>
  <r>
    <x v="14"/>
    <s v="Driver O"/>
    <d v="2026-03-31T00:00:00"/>
    <n v="257.10000000000002"/>
    <n v="78.099999999999994"/>
    <n v="3.2919334186939828"/>
    <n v="0.8"/>
    <n v="8"/>
    <n v="31.7"/>
    <n v="88"/>
  </r>
  <r>
    <x v="14"/>
    <s v="Driver O"/>
    <d v="2026-01-06T00:00:00"/>
    <n v="348.9"/>
    <n v="66.3"/>
    <n v="5.2624434389140271"/>
    <n v="2.8"/>
    <n v="7"/>
    <n v="42.4"/>
    <n v="99.7"/>
  </r>
  <r>
    <x v="14"/>
    <s v="Driver O"/>
    <d v="2026-02-01T00:00:00"/>
    <n v="132.1"/>
    <n v="45"/>
    <n v="2.9355555555555553"/>
    <n v="4.3"/>
    <n v="7"/>
    <n v="41.2"/>
    <n v="98"/>
  </r>
  <r>
    <x v="14"/>
    <s v="Driver O"/>
    <d v="2026-03-28T00:00:00"/>
    <n v="346.1"/>
    <n v="87.7"/>
    <n v="3.9464082098061577"/>
    <n v="1.8"/>
    <n v="4"/>
    <n v="41.1"/>
    <n v="90.2"/>
  </r>
  <r>
    <x v="14"/>
    <s v="Driver O"/>
    <d v="2026-01-30T00:00:00"/>
    <n v="279.7"/>
    <n v="57.8"/>
    <n v="4.8391003460207616"/>
    <n v="3.5"/>
    <n v="3"/>
    <n v="52.7"/>
    <n v="89.3"/>
  </r>
  <r>
    <x v="14"/>
    <s v="Driver O"/>
    <d v="2026-01-08T00:00:00"/>
    <n v="288.10000000000002"/>
    <n v="53.2"/>
    <n v="5.4154135338345863"/>
    <n v="2.6"/>
    <n v="3"/>
    <n v="47.5"/>
    <n v="88.8"/>
  </r>
  <r>
    <x v="14"/>
    <s v="Driver O"/>
    <d v="2026-03-04T00:00:00"/>
    <n v="164.4"/>
    <n v="38.299999999999997"/>
    <n v="4.2924281984334209"/>
    <n v="1.8"/>
    <n v="3"/>
    <n v="60.6"/>
    <n v="94.9"/>
  </r>
  <r>
    <x v="14"/>
    <s v="Driver O"/>
    <d v="2026-01-27T00:00:00"/>
    <n v="242.2"/>
    <n v="67.5"/>
    <n v="3.5881481481481479"/>
    <n v="3.2"/>
    <n v="7"/>
    <n v="60.3"/>
    <n v="87.1"/>
  </r>
  <r>
    <x v="14"/>
    <s v="Driver O"/>
    <d v="2026-03-04T00:00:00"/>
    <n v="141.9"/>
    <n v="32.799999999999997"/>
    <n v="4.3262195121951228"/>
    <n v="3.6"/>
    <n v="4"/>
    <n v="43.1"/>
    <n v="89.1"/>
  </r>
  <r>
    <x v="14"/>
    <s v="Driver O"/>
    <d v="2026-01-28T00:00:00"/>
    <n v="112.1"/>
    <n v="36.5"/>
    <n v="3.0712328767123287"/>
    <n v="3.4"/>
    <n v="7"/>
    <n v="45.8"/>
    <n v="91.4"/>
  </r>
  <r>
    <x v="14"/>
    <s v="Driver O"/>
    <d v="2026-02-10T00:00:00"/>
    <n v="230.4"/>
    <n v="54.3"/>
    <n v="4.2430939226519344"/>
    <m/>
    <n v="4"/>
    <n v="50.3"/>
    <n v="92"/>
  </r>
  <r>
    <x v="14"/>
    <s v="Driver O"/>
    <d v="2026-01-16T00:00:00"/>
    <n v="254.1"/>
    <n v="49.4"/>
    <n v="5.1437246963562755"/>
    <n v="2.7"/>
    <n v="2"/>
    <n v="51.2"/>
    <n v="87.9"/>
  </r>
  <r>
    <x v="14"/>
    <s v="Driver O"/>
    <d v="2026-02-13T00:00:00"/>
    <n v="214.4"/>
    <n v="72.8"/>
    <n v="2.9450549450549453"/>
    <n v="1.2"/>
    <n v="8"/>
    <n v="44.9"/>
    <n v="96.5"/>
  </r>
  <r>
    <x v="14"/>
    <s v="Driver O"/>
    <d v="2026-02-18T00:00:00"/>
    <n v="226.2"/>
    <n v="49.3"/>
    <n v="4.5882352941176467"/>
    <n v="2.2000000000000002"/>
    <n v="4"/>
    <n v="36.1"/>
    <n v="90.9"/>
  </r>
  <r>
    <x v="14"/>
    <s v="Driver O"/>
    <d v="2026-03-29T00:00:00"/>
    <n v="250.5"/>
    <n v="57.1"/>
    <n v="4.3870402802101571"/>
    <n v="0.3"/>
    <n v="2"/>
    <n v="41.6"/>
    <n v="90.7"/>
  </r>
  <r>
    <x v="14"/>
    <s v="Driver O"/>
    <d v="2026-03-20T00:00:00"/>
    <n v="261.3"/>
    <n v="71.099999999999994"/>
    <n v="3.6751054852320681"/>
    <n v="2.2000000000000002"/>
    <n v="4"/>
    <n v="49.2"/>
    <n v="96.6"/>
  </r>
  <r>
    <x v="14"/>
    <s v="Driver O"/>
    <d v="2026-03-17T00:00:00"/>
    <n v="411.7"/>
    <n v="78.900000000000006"/>
    <n v="5.2179974651457535"/>
    <n v="4"/>
    <n v="2"/>
    <n v="41.3"/>
    <n v="95.4"/>
  </r>
  <r>
    <x v="14"/>
    <s v="Driver O"/>
    <d v="2026-02-06T00:00:00"/>
    <n v="311.8"/>
    <n v="100"/>
    <n v="3.1180000000000003"/>
    <n v="0.8"/>
    <n v="4"/>
    <n v="30.2"/>
    <n v="96.5"/>
  </r>
  <r>
    <x v="14"/>
    <s v="Driver O"/>
    <d v="2026-03-06T00:00:00"/>
    <n v="89.2"/>
    <n v="21.7"/>
    <n v="4.1105990783410142"/>
    <n v="2.4"/>
    <n v="4"/>
    <n v="45.3"/>
    <n v="92.3"/>
  </r>
  <r>
    <x v="14"/>
    <s v="Driver O"/>
    <d v="2026-01-13T00:00:00"/>
    <n v="248.6"/>
    <n v="53.5"/>
    <n v="4.6467289719626166"/>
    <n v="3.3"/>
    <n v="8"/>
    <n v="51.2"/>
    <n v="99.2"/>
  </r>
  <r>
    <x v="14"/>
    <s v="Driver O"/>
    <d v="2026-03-04T00:00:00"/>
    <n v="91.2"/>
    <n v="22.3"/>
    <n v="4.0896860986547088"/>
    <n v="1.7"/>
    <n v="8"/>
    <n v="68.099999999999994"/>
    <n v="89.2"/>
  </r>
  <r>
    <x v="14"/>
    <s v="Driver O"/>
    <d v="2026-02-14T00:00:00"/>
    <n v="161.19999999999999"/>
    <n v="45.2"/>
    <n v="3.5663716814159288"/>
    <n v="1"/>
    <n v="1"/>
    <n v="57.9"/>
    <n v="85.9"/>
  </r>
  <r>
    <x v="14"/>
    <s v="Driver O"/>
    <d v="2026-01-03T00:00:00"/>
    <n v="93.7"/>
    <n v="31.7"/>
    <n v="2.9558359621451107"/>
    <n v="3.6"/>
    <n v="1"/>
    <n v="48.2"/>
    <n v="88.2"/>
  </r>
  <r>
    <x v="14"/>
    <s v="Driver O"/>
    <d v="2026-01-06T00:00:00"/>
    <n v="118.6"/>
    <n v="40.299999999999997"/>
    <n v="2.9429280397022333"/>
    <n v="2.5"/>
    <n v="3"/>
    <n v="65.3"/>
    <n v="92.3"/>
  </r>
  <r>
    <x v="14"/>
    <s v="Driver O"/>
    <d v="2026-03-30T00:00:00"/>
    <n v="130.1"/>
    <n v="40.1"/>
    <n v="3.2443890274314211"/>
    <n v="1.4"/>
    <n v="7"/>
    <n v="58.6"/>
    <n v="99.3"/>
  </r>
  <r>
    <x v="15"/>
    <s v="Driver P"/>
    <d v="2026-01-29T00:00:00"/>
    <n v="153.80000000000001"/>
    <n v="29.1"/>
    <n v="5.2852233676975944"/>
    <n v="1.7"/>
    <n v="4"/>
    <n v="40"/>
    <n v="94.9"/>
  </r>
  <r>
    <x v="15"/>
    <s v="Driver P"/>
    <d v="2026-01-04T00:00:00"/>
    <n v="223.9"/>
    <n v="48.6"/>
    <n v="4.6069958847736627"/>
    <n v="3.6"/>
    <n v="3"/>
    <n v="67.8"/>
    <n v="98.8"/>
  </r>
  <r>
    <x v="15"/>
    <s v="Driver P"/>
    <d v="2026-03-27T00:00:00"/>
    <n v="122.3"/>
    <n v="22.8"/>
    <n v="5.3640350877192979"/>
    <n v="2.2000000000000002"/>
    <n v="5"/>
    <n v="64.5"/>
    <n v="87.5"/>
  </r>
  <r>
    <x v="15"/>
    <s v="Driver P"/>
    <d v="2026-01-14T00:00:00"/>
    <n v="402.9"/>
    <n v="92.6"/>
    <n v="4.3509719222462202"/>
    <n v="2.2000000000000002"/>
    <n v="8"/>
    <n v="45.3"/>
    <n v="99.5"/>
  </r>
  <r>
    <x v="15"/>
    <s v="Driver P"/>
    <d v="2026-01-14T00:00:00"/>
    <n v="167.8"/>
    <m/>
    <n v="0"/>
    <n v="2.7"/>
    <n v="5"/>
    <n v="31"/>
    <n v="97.5"/>
  </r>
  <r>
    <x v="15"/>
    <s v="Driver P"/>
    <d v="2026-01-25T00:00:00"/>
    <n v="216.1"/>
    <n v="40.299999999999997"/>
    <n v="5.3622828784119108"/>
    <n v="4.4000000000000004"/>
    <n v="8"/>
    <n v="64.599999999999994"/>
    <n v="96.7"/>
  </r>
  <r>
    <x v="15"/>
    <s v="Driver P"/>
    <d v="2026-02-17T00:00:00"/>
    <n v="285.2"/>
    <n v="92.7"/>
    <n v="3.0765911542610569"/>
    <n v="3.8"/>
    <n v="2"/>
    <n v="42.8"/>
    <n v="96.4"/>
  </r>
  <r>
    <x v="15"/>
    <s v="Driver P"/>
    <d v="2026-02-27T00:00:00"/>
    <n v="307.7"/>
    <n v="58.7"/>
    <n v="5.2419080068143096"/>
    <n v="0.3"/>
    <n v="4"/>
    <n v="67.599999999999994"/>
    <n v="93.2"/>
  </r>
  <r>
    <x v="15"/>
    <s v="Driver P"/>
    <d v="2026-01-26T00:00:00"/>
    <n v="125.4"/>
    <n v="24.6"/>
    <n v="5.0975609756097562"/>
    <n v="2.1"/>
    <n v="8"/>
    <n v="74.900000000000006"/>
    <n v="97.2"/>
  </r>
  <r>
    <x v="15"/>
    <s v="Driver P"/>
    <d v="2026-02-09T00:00:00"/>
    <n v="264"/>
    <n v="86.8"/>
    <n v="3.0414746543778803"/>
    <n v="1.9"/>
    <n v="8"/>
    <n v="73.5"/>
    <n v="88.2"/>
  </r>
  <r>
    <x v="15"/>
    <s v="Driver P"/>
    <d v="2026-03-08T00:00:00"/>
    <n v="249.1"/>
    <n v="56.1"/>
    <n v="4.4402852049910875"/>
    <n v="2.4"/>
    <n v="6"/>
    <n v="71.900000000000006"/>
    <n v="89.8"/>
  </r>
  <r>
    <x v="15"/>
    <s v="Driver P"/>
    <d v="2026-02-10T00:00:00"/>
    <n v="257.5"/>
    <n v="59.7"/>
    <n v="4.3132328308207706"/>
    <n v="4.2"/>
    <n v="5"/>
    <n v="43"/>
    <n v="93.6"/>
  </r>
  <r>
    <x v="15"/>
    <s v="Driver P"/>
    <d v="2026-01-24T00:00:00"/>
    <n v="426.5"/>
    <n v="79"/>
    <n v="5.3987341772151902"/>
    <n v="4.2"/>
    <n v="1"/>
    <n v="30.4"/>
    <n v="93.5"/>
  </r>
  <r>
    <x v="15"/>
    <s v="Driver P"/>
    <d v="2026-01-07T00:00:00"/>
    <n v="439.7"/>
    <n v="82.3"/>
    <n v="5.3426488456865124"/>
    <n v="3.1"/>
    <n v="6"/>
    <n v="61.3"/>
    <n v="91.1"/>
  </r>
  <r>
    <x v="15"/>
    <s v="Driver P"/>
    <d v="2026-02-10T00:00:00"/>
    <n v="418.3"/>
    <n v="110.1"/>
    <n v="3.7992733878292464"/>
    <n v="2"/>
    <n v="4"/>
    <n v="63.4"/>
    <n v="85.2"/>
  </r>
  <r>
    <x v="15"/>
    <s v="Driver P"/>
    <d v="2026-02-28T00:00:00"/>
    <n v="142.19999999999999"/>
    <n v="28.7"/>
    <n v="4.9547038327526129"/>
    <n v="0.9"/>
    <n v="8"/>
    <n v="38.299999999999997"/>
    <n v="98.3"/>
  </r>
  <r>
    <x v="15"/>
    <s v="Driver P"/>
    <d v="2026-03-16T00:00:00"/>
    <n v="228.3"/>
    <n v="54.8"/>
    <n v="4.1660583941605847"/>
    <n v="4.2"/>
    <n v="7"/>
    <n v="54.5"/>
    <n v="96.9"/>
  </r>
  <r>
    <x v="15"/>
    <s v="Driver P"/>
    <d v="2026-02-14T00:00:00"/>
    <n v="256.2"/>
    <n v="64.3"/>
    <n v="3.9844479004665629"/>
    <n v="3.2"/>
    <n v="6"/>
    <n v="33"/>
    <n v="85.7"/>
  </r>
  <r>
    <x v="15"/>
    <s v="Driver P"/>
    <d v="2026-01-10T00:00:00"/>
    <n v="86.2"/>
    <n v="28.9"/>
    <n v="2.9826989619377167"/>
    <n v="1.3"/>
    <n v="1"/>
    <n v="71.5"/>
    <m/>
  </r>
  <r>
    <x v="15"/>
    <s v="Driver P"/>
    <d v="2026-01-26T00:00:00"/>
    <n v="351"/>
    <n v="82.1"/>
    <n v="4.2752740560292333"/>
    <n v="3.6"/>
    <n v="3"/>
    <n v="30.3"/>
    <n v="91.2"/>
  </r>
  <r>
    <x v="15"/>
    <s v="Driver P"/>
    <d v="2026-03-11T00:00:00"/>
    <n v="194.3"/>
    <n v="47.1"/>
    <n v="4.1252653927813165"/>
    <n v="0.6"/>
    <n v="4"/>
    <n v="57.1"/>
    <n v="85.3"/>
  </r>
  <r>
    <x v="15"/>
    <s v="Driver P"/>
    <d v="2026-01-01T00:00:00"/>
    <n v="202.7"/>
    <n v="45.5"/>
    <n v="4.4549450549450551"/>
    <n v="3.7"/>
    <n v="6"/>
    <n v="62.3"/>
    <n v="98.8"/>
  </r>
  <r>
    <x v="15"/>
    <s v="Driver P"/>
    <d v="2026-03-17T00:00:00"/>
    <n v="284"/>
    <n v="76.2"/>
    <n v="3.727034120734908"/>
    <n v="3.8"/>
    <n v="5"/>
    <n v="63.7"/>
    <n v="95.3"/>
  </r>
  <r>
    <x v="15"/>
    <s v="Driver P"/>
    <d v="2026-03-31T00:00:00"/>
    <n v="136.69999999999999"/>
    <n v="29.2"/>
    <n v="4.6815068493150678"/>
    <n v="2.9"/>
    <n v="5"/>
    <n v="48.9"/>
    <n v="86.5"/>
  </r>
  <r>
    <x v="15"/>
    <s v="Driver P"/>
    <d v="2026-03-14T00:00:00"/>
    <n v="331"/>
    <n v="100.6"/>
    <n v="3.2902584493041753"/>
    <n v="1.8"/>
    <n v="6"/>
    <n v="57.5"/>
    <n v="97.9"/>
  </r>
  <r>
    <x v="15"/>
    <s v="Driver P"/>
    <d v="2026-02-12T00:00:00"/>
    <n v="212.1"/>
    <n v="46"/>
    <n v="4.6108695652173912"/>
    <n v="1.2"/>
    <n v="5"/>
    <n v="57.9"/>
    <n v="98.5"/>
  </r>
  <r>
    <x v="15"/>
    <s v="Driver P"/>
    <d v="2026-02-10T00:00:00"/>
    <n v="210.8"/>
    <n v="40.4"/>
    <n v="5.217821782178218"/>
    <n v="1.4"/>
    <n v="4"/>
    <n v="52.5"/>
    <n v="88"/>
  </r>
  <r>
    <x v="15"/>
    <s v="Driver P"/>
    <d v="2026-02-27T00:00:00"/>
    <n v="409.2"/>
    <n v="106.9"/>
    <n v="3.827876520112254"/>
    <n v="1.4"/>
    <n v="3"/>
    <n v="69.099999999999994"/>
    <n v="94.6"/>
  </r>
  <r>
    <x v="15"/>
    <s v="Driver P"/>
    <d v="2026-03-30T00:00:00"/>
    <n v="300.60000000000002"/>
    <n v="79"/>
    <n v="3.8050632911392408"/>
    <n v="0.6"/>
    <n v="3"/>
    <n v="52.5"/>
    <n v="95.3"/>
  </r>
  <r>
    <x v="15"/>
    <s v="Driver P"/>
    <d v="2026-01-23T00:00:00"/>
    <n v="260.7"/>
    <n v="49.9"/>
    <n v="5.2244488977955914"/>
    <n v="3.2"/>
    <n v="2"/>
    <n v="56.8"/>
    <n v="89.5"/>
  </r>
  <r>
    <x v="15"/>
    <s v="Driver P"/>
    <d v="2026-03-25T00:00:00"/>
    <n v="218.4"/>
    <n v="42.8"/>
    <n v="5.1028037383177578"/>
    <n v="2.2999999999999998"/>
    <n v="3"/>
    <n v="37.4"/>
    <n v="88.4"/>
  </r>
  <r>
    <x v="15"/>
    <s v="Driver P"/>
    <d v="2026-02-28T00:00:00"/>
    <n v="231.8"/>
    <n v="76.900000000000006"/>
    <n v="3.0143042912873863"/>
    <n v="2.8"/>
    <n v="4"/>
    <n v="69.7"/>
    <n v="89.2"/>
  </r>
  <r>
    <x v="15"/>
    <s v="Driver P"/>
    <d v="2026-03-08T00:00:00"/>
    <n v="349.8"/>
    <n v="84.4"/>
    <n v="4.1445497630331749"/>
    <n v="3.7"/>
    <n v="4"/>
    <n v="61.9"/>
    <n v="99.7"/>
  </r>
  <r>
    <x v="15"/>
    <s v="Driver P"/>
    <d v="2026-03-02T00:00:00"/>
    <n v="375"/>
    <n v="82.5"/>
    <n v="4.5454545454545459"/>
    <n v="2.2999999999999998"/>
    <n v="8"/>
    <n v="70.099999999999994"/>
    <n v="93.1"/>
  </r>
  <r>
    <x v="15"/>
    <s v="Driver P"/>
    <d v="2026-03-15T00:00:00"/>
    <n v="351.5"/>
    <n v="89.3"/>
    <n v="3.9361702127659575"/>
    <n v="4.3"/>
    <n v="5"/>
    <n v="43"/>
    <n v="85.5"/>
  </r>
  <r>
    <x v="15"/>
    <s v="Driver P"/>
    <d v="2026-01-14T00:00:00"/>
    <n v="133.19999999999999"/>
    <n v="27.3"/>
    <n v="4.8791208791208787"/>
    <n v="1.1000000000000001"/>
    <n v="2"/>
    <n v="71.099999999999994"/>
    <n v="95.7"/>
  </r>
  <r>
    <x v="15"/>
    <s v="Driver P"/>
    <d v="2026-03-03T00:00:00"/>
    <n v="241.3"/>
    <n v="47.5"/>
    <n v="5.08"/>
    <n v="3.6"/>
    <n v="2"/>
    <n v="54.3"/>
    <n v="85"/>
  </r>
  <r>
    <x v="15"/>
    <s v="Driver P"/>
    <d v="2026-01-16T00:00:00"/>
    <n v="289.89999999999998"/>
    <n v="54.4"/>
    <n v="5.3290441176470589"/>
    <n v="1.7"/>
    <n v="5"/>
    <n v="48"/>
    <n v="94.5"/>
  </r>
  <r>
    <x v="15"/>
    <s v="Driver P"/>
    <d v="2026-03-06T00:00:00"/>
    <n v="274.89999999999998"/>
    <n v="87.8"/>
    <n v="3.1309794988610475"/>
    <n v="3.3"/>
    <n v="5"/>
    <n v="50.3"/>
    <n v="90.5"/>
  </r>
  <r>
    <x v="15"/>
    <s v="Driver P"/>
    <d v="2026-01-06T00:00:00"/>
    <n v="131.6"/>
    <n v="30.7"/>
    <n v="4.2866449511400653"/>
    <n v="1.5"/>
    <n v="7"/>
    <n v="57.8"/>
    <n v="88.3"/>
  </r>
  <r>
    <x v="15"/>
    <s v="Driver P"/>
    <d v="2026-02-10T00:00:00"/>
    <n v="303.2"/>
    <n v="72.5"/>
    <n v="4.1820689655172414"/>
    <n v="0.4"/>
    <n v="6"/>
    <n v="47.9"/>
    <n v="95.7"/>
  </r>
  <r>
    <x v="15"/>
    <s v="Driver P"/>
    <d v="2026-02-22T00:00:00"/>
    <n v="205.9"/>
    <n v="39.200000000000003"/>
    <n v="5.2525510204081627"/>
    <n v="0.6"/>
    <n v="3"/>
    <n v="52.7"/>
    <n v="97.5"/>
  </r>
  <r>
    <x v="16"/>
    <s v="Driver Q"/>
    <d v="2026-01-14T00:00:00"/>
    <n v="402.1"/>
    <n v="111.5"/>
    <n v="3.6062780269058297"/>
    <n v="2.9"/>
    <n v="4"/>
    <n v="36.9"/>
    <n v="96.4"/>
  </r>
  <r>
    <x v="16"/>
    <s v="Driver Q"/>
    <d v="2026-01-21T00:00:00"/>
    <n v="101"/>
    <n v="24.2"/>
    <n v="4.1735537190082646"/>
    <n v="3.9"/>
    <n v="2"/>
    <n v="56.8"/>
    <n v="95.1"/>
  </r>
  <r>
    <x v="16"/>
    <s v="Driver Q"/>
    <d v="2026-01-29T00:00:00"/>
    <n v="429.8"/>
    <n v="147.30000000000001"/>
    <n v="2.91785471826205"/>
    <n v="3.6"/>
    <n v="5"/>
    <n v="50.6"/>
    <n v="99.5"/>
  </r>
  <r>
    <x v="16"/>
    <s v="Driver Q"/>
    <d v="2026-03-09T00:00:00"/>
    <n v="234.9"/>
    <n v="72.599999999999994"/>
    <n v="3.2355371900826451"/>
    <n v="1.1000000000000001"/>
    <n v="3"/>
    <n v="69.3"/>
    <n v="85.8"/>
  </r>
  <r>
    <x v="16"/>
    <s v="Driver Q"/>
    <d v="2026-02-16T00:00:00"/>
    <n v="105"/>
    <n v="24.9"/>
    <n v="4.2168674698795181"/>
    <n v="2.4"/>
    <n v="1"/>
    <n v="47.6"/>
    <n v="92.1"/>
  </r>
  <r>
    <x v="16"/>
    <s v="Driver Q"/>
    <d v="2026-02-04T00:00:00"/>
    <n v="376.4"/>
    <n v="79"/>
    <n v="4.7645569620253161"/>
    <n v="0.5"/>
    <n v="3"/>
    <n v="54.5"/>
    <n v="89.8"/>
  </r>
  <r>
    <x v="16"/>
    <s v="Driver Q"/>
    <d v="2026-02-16T00:00:00"/>
    <n v="227.3"/>
    <n v="49.9"/>
    <n v="4.5551102204408824"/>
    <n v="1.3"/>
    <n v="2"/>
    <n v="31.2"/>
    <n v="87.8"/>
  </r>
  <r>
    <x v="16"/>
    <s v="Driver Q"/>
    <d v="2026-02-19T00:00:00"/>
    <n v="418"/>
    <n v="134.1"/>
    <n v="3.1170768083519764"/>
    <n v="3.5"/>
    <n v="8"/>
    <n v="39.700000000000003"/>
    <n v="94.2"/>
  </r>
  <r>
    <x v="16"/>
    <s v="Driver Q"/>
    <d v="2026-03-20T00:00:00"/>
    <n v="420.6"/>
    <n v="81.599999999999994"/>
    <n v="5.1544117647058831"/>
    <n v="3.4"/>
    <n v="1"/>
    <n v="61.8"/>
    <n v="92.8"/>
  </r>
  <r>
    <x v="16"/>
    <s v="Driver Q"/>
    <d v="2026-01-29T00:00:00"/>
    <n v="316"/>
    <n v="107.4"/>
    <n v="2.9422718808193666"/>
    <n v="2"/>
    <n v="8"/>
    <n v="34.5"/>
    <n v="96.6"/>
  </r>
  <r>
    <x v="16"/>
    <s v="Driver Q"/>
    <d v="2026-03-01T00:00:00"/>
    <n v="180.9"/>
    <n v="36.299999999999997"/>
    <n v="4.9834710743801658"/>
    <n v="1.6"/>
    <n v="8"/>
    <n v="59.2"/>
    <n v="95.8"/>
  </r>
  <r>
    <x v="16"/>
    <s v="Driver Q"/>
    <d v="2026-02-09T00:00:00"/>
    <n v="335.4"/>
    <n v="74.099999999999994"/>
    <n v="4.5263157894736841"/>
    <n v="4.2"/>
    <n v="6"/>
    <n v="57.7"/>
    <n v="88.3"/>
  </r>
  <r>
    <x v="16"/>
    <s v="Driver Q"/>
    <d v="2026-01-29T00:00:00"/>
    <n v="233"/>
    <n v="65.8"/>
    <n v="3.5410334346504562"/>
    <n v="2.6"/>
    <n v="3"/>
    <n v="58.2"/>
    <n v="91.4"/>
  </r>
  <r>
    <x v="16"/>
    <s v="Driver Q"/>
    <d v="2026-01-23T00:00:00"/>
    <n v="284.2"/>
    <n v="76.900000000000006"/>
    <n v="3.6957087126137838"/>
    <n v="2"/>
    <n v="8"/>
    <n v="40.4"/>
    <n v="91.1"/>
  </r>
  <r>
    <x v="16"/>
    <s v="Driver Q"/>
    <d v="2026-03-29T00:00:00"/>
    <n v="244.7"/>
    <n v="86.7"/>
    <n v="2.8223760092272201"/>
    <n v="1.7"/>
    <n v="2"/>
    <n v="74.5"/>
    <n v="91.3"/>
  </r>
  <r>
    <x v="16"/>
    <s v="Driver Q"/>
    <d v="2026-02-23T00:00:00"/>
    <n v="437.3"/>
    <n v="93.9"/>
    <n v="4.6570820021299255"/>
    <n v="4.2"/>
    <n v="4"/>
    <n v="51.4"/>
    <n v="86.2"/>
  </r>
  <r>
    <x v="16"/>
    <s v="Driver Q"/>
    <d v="2026-02-23T00:00:00"/>
    <n v="121.6"/>
    <n v="38"/>
    <n v="3.1999999999999997"/>
    <n v="2.6"/>
    <n v="2"/>
    <n v="71.599999999999994"/>
    <n v="93.4"/>
  </r>
  <r>
    <x v="16"/>
    <s v="Driver Q"/>
    <d v="2026-02-20T00:00:00"/>
    <n v="315.10000000000002"/>
    <n v="100.5"/>
    <n v="3.1353233830845775"/>
    <n v="0.3"/>
    <n v="6"/>
    <n v="52"/>
    <n v="91.7"/>
  </r>
  <r>
    <x v="16"/>
    <s v="Driver Q"/>
    <d v="2026-02-04T00:00:00"/>
    <n v="310.39999999999998"/>
    <n v="66.2"/>
    <n v="4.6888217522658602"/>
    <n v="2"/>
    <n v="2"/>
    <n v="53"/>
    <n v="94.3"/>
  </r>
  <r>
    <x v="16"/>
    <s v="Driver Q"/>
    <d v="2026-01-10T00:00:00"/>
    <n v="347.7"/>
    <n v="113.1"/>
    <n v="3.0742705570291777"/>
    <n v="1.3"/>
    <n v="4"/>
    <n v="50.6"/>
    <n v="99.7"/>
  </r>
  <r>
    <x v="16"/>
    <s v="Driver Q"/>
    <d v="2026-03-02T00:00:00"/>
    <n v="395.2"/>
    <n v="76.8"/>
    <n v="5.145833333333333"/>
    <n v="0.5"/>
    <n v="8"/>
    <n v="44.4"/>
    <n v="90"/>
  </r>
  <r>
    <x v="16"/>
    <s v="Driver Q"/>
    <d v="2026-02-08T00:00:00"/>
    <n v="391.9"/>
    <n v="91.6"/>
    <n v="4.2783842794759828"/>
    <n v="1.5"/>
    <n v="4"/>
    <n v="39"/>
    <n v="94.4"/>
  </r>
  <r>
    <x v="16"/>
    <s v="Driver Q"/>
    <d v="2026-03-22T00:00:00"/>
    <n v="91.5"/>
    <n v="20.9"/>
    <n v="4.3779904306220097"/>
    <n v="1.9"/>
    <n v="4"/>
    <n v="70.8"/>
    <n v="93.3"/>
  </r>
  <r>
    <x v="16"/>
    <s v="Driver Q"/>
    <d v="2026-03-08T00:00:00"/>
    <n v="338.4"/>
    <n v="75.900000000000006"/>
    <n v="4.4584980237154141"/>
    <n v="3.1"/>
    <n v="6"/>
    <n v="40.799999999999997"/>
    <n v="85"/>
  </r>
  <r>
    <x v="16"/>
    <s v="Driver Q"/>
    <d v="2026-02-05T00:00:00"/>
    <n v="227.2"/>
    <n v="47.1"/>
    <n v="4.8237791932059446"/>
    <n v="0.8"/>
    <n v="7"/>
    <n v="51.5"/>
    <n v="93.1"/>
  </r>
  <r>
    <x v="16"/>
    <s v="Driver Q"/>
    <d v="2026-02-14T00:00:00"/>
    <n v="225.7"/>
    <n v="48.5"/>
    <n v="4.6536082474226799"/>
    <n v="1"/>
    <n v="2"/>
    <n v="61.4"/>
    <n v="91.9"/>
  </r>
  <r>
    <x v="16"/>
    <s v="Driver Q"/>
    <d v="2026-03-10T00:00:00"/>
    <n v="346.6"/>
    <n v="70.400000000000006"/>
    <n v="4.9232954545454541"/>
    <n v="1.5"/>
    <n v="1"/>
    <n v="47.9"/>
    <n v="95.4"/>
  </r>
  <r>
    <x v="16"/>
    <s v="Driver Q"/>
    <d v="2026-01-22T00:00:00"/>
    <n v="90.6"/>
    <n v="19.7"/>
    <n v="4.5989847715736039"/>
    <n v="3.9"/>
    <n v="6"/>
    <n v="68.900000000000006"/>
    <n v="92"/>
  </r>
  <r>
    <x v="16"/>
    <s v="Driver Q"/>
    <d v="2026-03-20T00:00:00"/>
    <n v="431.4"/>
    <n v="112.9"/>
    <n v="3.8210806023029225"/>
    <n v="1.8"/>
    <n v="3"/>
    <n v="71.099999999999994"/>
    <n v="93.5"/>
  </r>
  <r>
    <x v="16"/>
    <s v="Driver Q"/>
    <d v="2026-02-09T00:00:00"/>
    <n v="366.9"/>
    <n v="115.1"/>
    <n v="3.1876629018245004"/>
    <n v="3.9"/>
    <n v="3"/>
    <n v="39.200000000000003"/>
    <n v="85.5"/>
  </r>
  <r>
    <x v="16"/>
    <s v="Driver Q"/>
    <d v="2026-02-28T00:00:00"/>
    <n v="427.8"/>
    <n v="83.1"/>
    <n v="5.1480144404332133"/>
    <n v="2.5"/>
    <n v="4"/>
    <n v="71.599999999999994"/>
    <n v="85.6"/>
  </r>
  <r>
    <x v="16"/>
    <s v="Driver Q"/>
    <d v="2026-02-27T00:00:00"/>
    <n v="232.5"/>
    <n v="43.6"/>
    <n v="5.3325688073394497"/>
    <n v="2.8"/>
    <n v="1"/>
    <n v="56.8"/>
    <n v="95.8"/>
  </r>
  <r>
    <x v="16"/>
    <s v="Driver Q"/>
    <d v="2026-01-13T00:00:00"/>
    <n v="309"/>
    <n v="60.2"/>
    <n v="5.132890365448505"/>
    <n v="4.4000000000000004"/>
    <n v="4"/>
    <n v="50.9"/>
    <n v="94.4"/>
  </r>
  <r>
    <x v="16"/>
    <s v="Driver Q"/>
    <d v="2026-01-05T00:00:00"/>
    <n v="237.5"/>
    <n v="61.5"/>
    <n v="3.8617886178861789"/>
    <n v="3.7"/>
    <n v="2"/>
    <n v="50.4"/>
    <n v="88.6"/>
  </r>
  <r>
    <x v="16"/>
    <s v="Driver Q"/>
    <d v="2026-02-12T00:00:00"/>
    <n v="104.5"/>
    <n v="19.399999999999999"/>
    <n v="5.3865979381443303"/>
    <n v="3.5"/>
    <n v="2"/>
    <n v="30.3"/>
    <n v="94.6"/>
  </r>
  <r>
    <x v="17"/>
    <s v="Driver R"/>
    <d v="2026-02-23T00:00:00"/>
    <n v="161.6"/>
    <n v="36.799999999999997"/>
    <n v="4.3913043478260869"/>
    <n v="3.7"/>
    <n v="1"/>
    <n v="64.099999999999994"/>
    <n v="87.4"/>
  </r>
  <r>
    <x v="17"/>
    <s v="Driver R"/>
    <d v="2026-02-07T00:00:00"/>
    <n v="386.9"/>
    <n v="86.6"/>
    <n v="4.4676674364896076"/>
    <n v="3.9"/>
    <n v="4"/>
    <n v="61.7"/>
    <n v="85.7"/>
  </r>
  <r>
    <x v="17"/>
    <s v="Driver R"/>
    <d v="2026-03-10T00:00:00"/>
    <n v="177.2"/>
    <n v="40.5"/>
    <n v="4.375308641975308"/>
    <n v="4.0999999999999996"/>
    <n v="7"/>
    <n v="46.3"/>
    <n v="100"/>
  </r>
  <r>
    <x v="17"/>
    <s v="Driver R"/>
    <d v="2026-03-09T00:00:00"/>
    <n v="419.8"/>
    <m/>
    <n v="0"/>
    <n v="2.2999999999999998"/>
    <n v="2"/>
    <n v="71.8"/>
    <n v="98.2"/>
  </r>
  <r>
    <x v="17"/>
    <s v="Driver R"/>
    <d v="2026-01-17T00:00:00"/>
    <n v="127.5"/>
    <n v="31.2"/>
    <n v="4.0865384615384617"/>
    <n v="2.6"/>
    <n v="5"/>
    <n v="53.7"/>
    <n v="94.1"/>
  </r>
  <r>
    <x v="17"/>
    <s v="Driver R"/>
    <d v="2026-01-13T00:00:00"/>
    <n v="98.7"/>
    <n v="18"/>
    <n v="5.4833333333333334"/>
    <n v="3.8"/>
    <n v="2"/>
    <n v="71.7"/>
    <n v="97.7"/>
  </r>
  <r>
    <x v="17"/>
    <s v="Driver R"/>
    <d v="2026-02-12T00:00:00"/>
    <n v="427.5"/>
    <n v="137.4"/>
    <n v="3.1113537117903931"/>
    <n v="4.4000000000000004"/>
    <n v="3"/>
    <n v="56.1"/>
    <n v="99.8"/>
  </r>
  <r>
    <x v="17"/>
    <s v="Driver R"/>
    <d v="2026-02-18T00:00:00"/>
    <n v="433"/>
    <n v="96.4"/>
    <n v="4.491701244813278"/>
    <n v="4"/>
    <n v="8"/>
    <n v="69.3"/>
    <n v="85.5"/>
  </r>
  <r>
    <x v="17"/>
    <s v="Driver R"/>
    <d v="2026-02-11T00:00:00"/>
    <n v="418.6"/>
    <n v="123.2"/>
    <n v="3.3977272727272729"/>
    <n v="0.5"/>
    <n v="8"/>
    <n v="70.900000000000006"/>
    <n v="89.5"/>
  </r>
  <r>
    <x v="17"/>
    <s v="Driver R"/>
    <d v="2026-01-18T00:00:00"/>
    <n v="223.8"/>
    <n v="58.9"/>
    <n v="3.7996604414261461"/>
    <n v="4.3"/>
    <n v="7"/>
    <n v="56.4"/>
    <n v="95.9"/>
  </r>
  <r>
    <x v="17"/>
    <s v="Driver R"/>
    <d v="2026-01-28T00:00:00"/>
    <n v="239.1"/>
    <n v="46"/>
    <n v="5.197826086956522"/>
    <n v="2"/>
    <n v="8"/>
    <n v="47.9"/>
    <n v="95.9"/>
  </r>
  <r>
    <x v="17"/>
    <s v="Driver R"/>
    <d v="2026-02-05T00:00:00"/>
    <n v="126.3"/>
    <n v="34.9"/>
    <n v="3.6189111747851004"/>
    <n v="2.5"/>
    <n v="3"/>
    <n v="56.6"/>
    <n v="93.7"/>
  </r>
  <r>
    <x v="17"/>
    <s v="Driver R"/>
    <d v="2026-02-07T00:00:00"/>
    <n v="317.5"/>
    <n v="87.8"/>
    <n v="3.6161731207289294"/>
    <n v="1.3"/>
    <n v="7"/>
    <n v="43.4"/>
    <n v="86.1"/>
  </r>
  <r>
    <x v="17"/>
    <s v="Driver R"/>
    <d v="2026-02-11T00:00:00"/>
    <n v="449.3"/>
    <n v="109.8"/>
    <n v="4.091985428051002"/>
    <n v="1.8"/>
    <n v="3"/>
    <n v="50.7"/>
    <n v="93"/>
  </r>
  <r>
    <x v="17"/>
    <s v="Driver R"/>
    <d v="2026-02-15T00:00:00"/>
    <n v="330.1"/>
    <n v="64.2"/>
    <n v="5.1417445482866047"/>
    <n v="3.1"/>
    <n v="5"/>
    <n v="57.5"/>
    <n v="87.9"/>
  </r>
  <r>
    <x v="17"/>
    <s v="Driver R"/>
    <d v="2026-02-18T00:00:00"/>
    <n v="411.4"/>
    <n v="106.4"/>
    <n v="3.8665413533834583"/>
    <n v="1.7"/>
    <n v="3"/>
    <n v="43.1"/>
    <n v="89.3"/>
  </r>
  <r>
    <x v="17"/>
    <s v="Driver R"/>
    <d v="2026-03-31T00:00:00"/>
    <n v="180.5"/>
    <n v="58.3"/>
    <n v="3.096054888507719"/>
    <n v="3.4"/>
    <n v="4"/>
    <n v="40.9"/>
    <n v="95"/>
  </r>
  <r>
    <x v="17"/>
    <s v="Driver R"/>
    <d v="2026-03-27T00:00:00"/>
    <n v="385.5"/>
    <n v="79.400000000000006"/>
    <n v="4.8551637279596971"/>
    <n v="3.1"/>
    <n v="2"/>
    <n v="53.6"/>
    <n v="92.9"/>
  </r>
  <r>
    <x v="17"/>
    <s v="Driver R"/>
    <d v="2026-03-25T00:00:00"/>
    <n v="212.9"/>
    <n v="60.7"/>
    <n v="3.5074135090609553"/>
    <n v="2.4"/>
    <n v="8"/>
    <n v="51"/>
    <n v="97"/>
  </r>
  <r>
    <x v="17"/>
    <s v="Driver R"/>
    <d v="2026-03-16T00:00:00"/>
    <n v="294.3"/>
    <n v="74.900000000000006"/>
    <n v="3.9292389853137517"/>
    <n v="0.9"/>
    <n v="6"/>
    <n v="40.4"/>
    <n v="93.5"/>
  </r>
  <r>
    <x v="17"/>
    <s v="Driver R"/>
    <d v="2026-01-12T00:00:00"/>
    <n v="300.89999999999998"/>
    <n v="61.2"/>
    <n v="4.9166666666666661"/>
    <n v="3.9"/>
    <n v="1"/>
    <n v="43.1"/>
    <n v="90.8"/>
  </r>
  <r>
    <x v="17"/>
    <s v="Driver R"/>
    <d v="2026-01-24T00:00:00"/>
    <n v="215.3"/>
    <n v="64.599999999999994"/>
    <n v="3.3328173374613006"/>
    <n v="0.7"/>
    <n v="8"/>
    <n v="53.7"/>
    <n v="94.6"/>
  </r>
  <r>
    <x v="17"/>
    <s v="Driver R"/>
    <d v="2026-02-06T00:00:00"/>
    <n v="142.19999999999999"/>
    <n v="35.200000000000003"/>
    <n v="4.0397727272727266"/>
    <n v="3.4"/>
    <n v="8"/>
    <n v="54.7"/>
    <n v="86.7"/>
  </r>
  <r>
    <x v="17"/>
    <s v="Driver R"/>
    <d v="2026-03-10T00:00:00"/>
    <n v="307.89999999999998"/>
    <n v="86.8"/>
    <n v="3.5472350230414746"/>
    <n v="1.5"/>
    <n v="4"/>
    <n v="73.8"/>
    <n v="87.3"/>
  </r>
  <r>
    <x v="17"/>
    <s v="Driver R"/>
    <d v="2026-03-03T00:00:00"/>
    <n v="102.6"/>
    <n v="28.9"/>
    <n v="3.5501730103806226"/>
    <n v="0.8"/>
    <n v="4"/>
    <n v="58.9"/>
    <n v="97"/>
  </r>
  <r>
    <x v="17"/>
    <s v="Driver R"/>
    <d v="2026-03-04T00:00:00"/>
    <n v="207.3"/>
    <n v="47.9"/>
    <n v="4.3277661795407099"/>
    <n v="1.6"/>
    <n v="5"/>
    <n v="38.1"/>
    <n v="89.8"/>
  </r>
  <r>
    <x v="17"/>
    <s v="Driver R"/>
    <d v="2026-02-03T00:00:00"/>
    <n v="324.39999999999998"/>
    <n v="90"/>
    <n v="3.6044444444444443"/>
    <n v="0.6"/>
    <n v="7"/>
    <n v="55.7"/>
    <n v="97.6"/>
  </r>
  <r>
    <x v="17"/>
    <s v="Driver R"/>
    <d v="2026-02-11T00:00:00"/>
    <n v="397"/>
    <n v="94.5"/>
    <n v="4.2010582010582009"/>
    <n v="4.0999999999999996"/>
    <n v="1"/>
    <n v="65.400000000000006"/>
    <n v="94.3"/>
  </r>
  <r>
    <x v="17"/>
    <s v="Driver R"/>
    <d v="2026-03-23T00:00:00"/>
    <n v="370.4"/>
    <n v="70.599999999999994"/>
    <n v="5.2464589235127477"/>
    <n v="3.1"/>
    <n v="5"/>
    <n v="68"/>
    <n v="97.6"/>
  </r>
  <r>
    <x v="17"/>
    <s v="Driver R"/>
    <d v="2026-01-24T00:00:00"/>
    <n v="188.7"/>
    <n v="46.4"/>
    <n v="4.0668103448275863"/>
    <n v="3.4"/>
    <n v="3"/>
    <n v="72.599999999999994"/>
    <n v="98.5"/>
  </r>
  <r>
    <x v="17"/>
    <s v="Driver R"/>
    <d v="2026-02-06T00:00:00"/>
    <n v="404.7"/>
    <n v="102.7"/>
    <n v="3.9406037000973706"/>
    <n v="0.3"/>
    <n v="2"/>
    <n v="31.1"/>
    <n v="87.2"/>
  </r>
  <r>
    <x v="17"/>
    <s v="Driver R"/>
    <d v="2026-01-29T00:00:00"/>
    <n v="354.7"/>
    <n v="82.2"/>
    <n v="4.3150851581508514"/>
    <n v="1.2"/>
    <n v="5"/>
    <n v="61.2"/>
    <n v="85.7"/>
  </r>
  <r>
    <x v="17"/>
    <s v="Driver R"/>
    <d v="2026-02-07T00:00:00"/>
    <n v="435.2"/>
    <n v="136.5"/>
    <n v="3.1882783882783881"/>
    <n v="3.1"/>
    <n v="6"/>
    <n v="73.099999999999994"/>
    <n v="85.2"/>
  </r>
  <r>
    <x v="17"/>
    <s v="Driver R"/>
    <d v="2026-01-19T00:00:00"/>
    <n v="125.6"/>
    <n v="44.6"/>
    <n v="2.8161434977578472"/>
    <n v="2.8"/>
    <n v="2"/>
    <n v="43.7"/>
    <n v="96.2"/>
  </r>
  <r>
    <x v="17"/>
    <s v="Driver R"/>
    <d v="2026-03-01T00:00:00"/>
    <n v="318.5"/>
    <n v="106.3"/>
    <n v="2.9962370649106305"/>
    <n v="3.1"/>
    <n v="5"/>
    <n v="34.4"/>
    <n v="95.9"/>
  </r>
  <r>
    <x v="17"/>
    <s v="Driver R"/>
    <d v="2026-03-11T00:00:00"/>
    <n v="254.7"/>
    <n v="52.1"/>
    <n v="4.8886756238003839"/>
    <n v="1.8"/>
    <n v="4"/>
    <n v="70.099999999999994"/>
    <n v="93.8"/>
  </r>
  <r>
    <x v="17"/>
    <s v="Driver R"/>
    <d v="2026-03-14T00:00:00"/>
    <n v="144.30000000000001"/>
    <n v="31.6"/>
    <n v="4.5664556962025316"/>
    <n v="1.8"/>
    <n v="2"/>
    <n v="53.2"/>
    <n v="90.6"/>
  </r>
  <r>
    <x v="17"/>
    <s v="Driver R"/>
    <d v="2026-02-24T00:00:00"/>
    <n v="288.89999999999998"/>
    <n v="64.900000000000006"/>
    <n v="4.4514637904468408"/>
    <n v="4.5"/>
    <n v="7"/>
    <n v="64"/>
    <m/>
  </r>
  <r>
    <x v="17"/>
    <s v="Driver R"/>
    <d v="2026-03-03T00:00:00"/>
    <n v="146.1"/>
    <n v="33.9"/>
    <n v="4.3097345132743365"/>
    <n v="2.2999999999999998"/>
    <n v="5"/>
    <n v="56"/>
    <n v="96.6"/>
  </r>
  <r>
    <x v="17"/>
    <s v="Driver R"/>
    <d v="2026-02-03T00:00:00"/>
    <n v="167.7"/>
    <n v="41.2"/>
    <n v="4.0703883495145625"/>
    <n v="2.8"/>
    <n v="6"/>
    <n v="38.299999999999997"/>
    <n v="91.4"/>
  </r>
  <r>
    <x v="17"/>
    <s v="Driver R"/>
    <d v="2026-01-07T00:00:00"/>
    <n v="89.8"/>
    <n v="23.2"/>
    <n v="3.8706896551724137"/>
    <n v="3.5"/>
    <n v="2"/>
    <n v="34.700000000000003"/>
    <n v="94.3"/>
  </r>
  <r>
    <x v="17"/>
    <s v="Driver R"/>
    <d v="2026-02-04T00:00:00"/>
    <n v="283"/>
    <n v="89.4"/>
    <n v="3.1655480984340043"/>
    <n v="4.3"/>
    <n v="3"/>
    <n v="56.6"/>
    <n v="91.8"/>
  </r>
  <r>
    <x v="17"/>
    <s v="Driver R"/>
    <d v="2026-03-24T00:00:00"/>
    <n v="360"/>
    <n v="72.400000000000006"/>
    <n v="4.9723756906077341"/>
    <n v="2.1"/>
    <n v="4"/>
    <n v="31"/>
    <n v="90.7"/>
  </r>
  <r>
    <x v="17"/>
    <s v="Driver R"/>
    <d v="2026-01-20T00:00:00"/>
    <n v="306.8"/>
    <n v="83.6"/>
    <n v="3.6698564593301439"/>
    <n v="3"/>
    <n v="2"/>
    <n v="34.299999999999997"/>
    <n v="94.9"/>
  </r>
  <r>
    <x v="17"/>
    <s v="Driver R"/>
    <d v="2026-02-11T00:00:00"/>
    <n v="392.6"/>
    <n v="100.3"/>
    <n v="3.914257228315055"/>
    <n v="2.9"/>
    <n v="6"/>
    <n v="57.4"/>
    <n v="93.4"/>
  </r>
  <r>
    <x v="17"/>
    <s v="Driver R"/>
    <d v="2026-03-20T00:00:00"/>
    <n v="448.9"/>
    <n v="106.5"/>
    <n v="4.2150234741784036"/>
    <n v="1.2"/>
    <n v="5"/>
    <n v="65"/>
    <n v="89.9"/>
  </r>
  <r>
    <x v="17"/>
    <s v="Driver R"/>
    <d v="2026-01-27T00:00:00"/>
    <n v="98.1"/>
    <n v="30.7"/>
    <n v="3.1954397394136809"/>
    <n v="3"/>
    <n v="1"/>
    <n v="36.5"/>
    <n v="85.5"/>
  </r>
  <r>
    <x v="17"/>
    <s v="Driver R"/>
    <d v="2026-01-09T00:00:00"/>
    <n v="188.3"/>
    <n v="59.5"/>
    <n v="3.1647058823529415"/>
    <n v="3.2"/>
    <n v="5"/>
    <n v="44.8"/>
    <n v="91.2"/>
  </r>
  <r>
    <x v="17"/>
    <s v="Driver R"/>
    <d v="2026-03-10T00:00:00"/>
    <n v="86.9"/>
    <n v="19.899999999999999"/>
    <n v="4.3668341708542719"/>
    <n v="1.6"/>
    <n v="6"/>
    <n v="33"/>
    <n v="87.2"/>
  </r>
  <r>
    <x v="17"/>
    <s v="Driver R"/>
    <d v="2026-01-11T00:00:00"/>
    <n v="440.3"/>
    <n v="91"/>
    <n v="4.8384615384615381"/>
    <n v="2.2000000000000002"/>
    <n v="3"/>
    <n v="34.200000000000003"/>
    <n v="97"/>
  </r>
  <r>
    <x v="17"/>
    <s v="Driver R"/>
    <d v="2026-01-07T00:00:00"/>
    <n v="80.3"/>
    <n v="18.600000000000001"/>
    <n v="4.3172043010752681"/>
    <n v="4.4000000000000004"/>
    <n v="2"/>
    <n v="68.8"/>
    <n v="98"/>
  </r>
  <r>
    <x v="17"/>
    <s v="Driver R"/>
    <d v="2026-01-30T00:00:00"/>
    <n v="220.5"/>
    <n v="46.9"/>
    <n v="4.7014925373134329"/>
    <n v="2.2000000000000002"/>
    <n v="3"/>
    <n v="53.9"/>
    <n v="91.5"/>
  </r>
  <r>
    <x v="17"/>
    <s v="Driver R"/>
    <d v="2026-01-02T00:00:00"/>
    <n v="336.5"/>
    <n v="86.3"/>
    <n v="3.8991888760139051"/>
    <n v="1.1000000000000001"/>
    <n v="6"/>
    <n v="43.3"/>
    <n v="94.7"/>
  </r>
  <r>
    <x v="17"/>
    <s v="Driver R"/>
    <d v="2026-03-20T00:00:00"/>
    <n v="335.2"/>
    <n v="62.4"/>
    <n v="5.3717948717948714"/>
    <n v="3.8"/>
    <n v="2"/>
    <n v="48.8"/>
    <n v="98.7"/>
  </r>
  <r>
    <x v="17"/>
    <s v="Driver R"/>
    <d v="2026-02-23T00:00:00"/>
    <n v="161.6"/>
    <n v="36.799999999999997"/>
    <n v="4.3913043478260869"/>
    <n v="3.7"/>
    <n v="1"/>
    <n v="64.099999999999994"/>
    <n v="87.4"/>
  </r>
  <r>
    <x v="17"/>
    <s v="Driver R"/>
    <d v="2026-02-07T00:00:00"/>
    <n v="386.9"/>
    <n v="86.6"/>
    <n v="4.4676674364896076"/>
    <n v="3.9"/>
    <n v="4"/>
    <n v="61.7"/>
    <n v="85.7"/>
  </r>
  <r>
    <x v="18"/>
    <s v="Driver S"/>
    <d v="2026-03-14T00:00:00"/>
    <n v="273.39999999999998"/>
    <n v="51.4"/>
    <n v="5.3190661478599219"/>
    <n v="1.1000000000000001"/>
    <n v="6"/>
    <n v="40.700000000000003"/>
    <n v="90.9"/>
  </r>
  <r>
    <x v="18"/>
    <s v="Driver S"/>
    <d v="2026-03-12T00:00:00"/>
    <n v="134.80000000000001"/>
    <n v="42.9"/>
    <n v="3.1421911421911424"/>
    <n v="1.5"/>
    <n v="1"/>
    <n v="70.5"/>
    <n v="88.2"/>
  </r>
  <r>
    <x v="18"/>
    <s v="Driver S"/>
    <d v="2026-02-04T00:00:00"/>
    <n v="199.3"/>
    <n v="57.6"/>
    <n v="3.4600694444444446"/>
    <n v="4.2"/>
    <n v="5"/>
    <n v="69.7"/>
    <n v="88.7"/>
  </r>
  <r>
    <x v="18"/>
    <s v="Driver S"/>
    <d v="2026-03-09T00:00:00"/>
    <n v="300.8"/>
    <n v="55.2"/>
    <n v="5.4492753623188408"/>
    <n v="3.8"/>
    <n v="5"/>
    <n v="40.200000000000003"/>
    <n v="87.7"/>
  </r>
  <r>
    <x v="18"/>
    <s v="Driver S"/>
    <d v="2026-03-17T00:00:00"/>
    <n v="431.8"/>
    <n v="78.5"/>
    <n v="5.5006369426751593"/>
    <n v="3.1"/>
    <n v="5"/>
    <n v="55.9"/>
    <n v="96.4"/>
  </r>
  <r>
    <x v="18"/>
    <s v="Driver S"/>
    <d v="2026-03-26T00:00:00"/>
    <n v="261.2"/>
    <n v="81.599999999999994"/>
    <n v="3.2009803921568629"/>
    <n v="2.5"/>
    <n v="6"/>
    <n v="45"/>
    <n v="96.4"/>
  </r>
  <r>
    <x v="18"/>
    <s v="Driver S"/>
    <d v="2026-02-08T00:00:00"/>
    <n v="316.39999999999998"/>
    <n v="80.2"/>
    <n v="3.9451371571072316"/>
    <n v="1.3"/>
    <n v="5"/>
    <n v="39"/>
    <n v="90.8"/>
  </r>
  <r>
    <x v="18"/>
    <s v="Driver S"/>
    <d v="2026-03-04T00:00:00"/>
    <n v="275"/>
    <n v="75.7"/>
    <n v="3.6327608982826947"/>
    <n v="1.1000000000000001"/>
    <n v="1"/>
    <n v="30.3"/>
    <n v="89.5"/>
  </r>
  <r>
    <x v="18"/>
    <s v="Driver S"/>
    <d v="2026-02-27T00:00:00"/>
    <n v="332"/>
    <n v="64.099999999999994"/>
    <n v="5.1794071762870519"/>
    <n v="3"/>
    <n v="6"/>
    <n v="68.900000000000006"/>
    <n v="94.4"/>
  </r>
  <r>
    <x v="18"/>
    <s v="Driver S"/>
    <d v="2026-01-24T00:00:00"/>
    <n v="364.1"/>
    <n v="115.6"/>
    <n v="3.1496539792387548"/>
    <n v="2.4"/>
    <n v="1"/>
    <n v="67.400000000000006"/>
    <n v="92.8"/>
  </r>
  <r>
    <x v="18"/>
    <s v="Driver S"/>
    <d v="2026-03-13T00:00:00"/>
    <n v="152"/>
    <n v="35.4"/>
    <n v="4.2937853107344637"/>
    <n v="0.5"/>
    <n v="8"/>
    <n v="64.400000000000006"/>
    <n v="89.2"/>
  </r>
  <r>
    <x v="18"/>
    <s v="Driver S"/>
    <d v="2026-03-31T00:00:00"/>
    <n v="120.7"/>
    <n v="42.3"/>
    <n v="2.8534278959810879"/>
    <n v="1.5"/>
    <n v="3"/>
    <n v="48.6"/>
    <n v="88.1"/>
  </r>
  <r>
    <x v="18"/>
    <s v="Driver S"/>
    <d v="2026-02-10T00:00:00"/>
    <n v="293.7"/>
    <n v="60.1"/>
    <n v="4.8868552412645592"/>
    <n v="3.7"/>
    <n v="4"/>
    <n v="43.6"/>
    <n v="87.1"/>
  </r>
  <r>
    <x v="18"/>
    <s v="Driver S"/>
    <d v="2026-03-30T00:00:00"/>
    <n v="265.2"/>
    <n v="71.099999999999994"/>
    <n v="3.7299578059071732"/>
    <n v="0.3"/>
    <n v="2"/>
    <n v="43.3"/>
    <n v="98.8"/>
  </r>
  <r>
    <x v="18"/>
    <s v="Driver S"/>
    <d v="2026-03-30T00:00:00"/>
    <n v="209.7"/>
    <n v="44.4"/>
    <n v="4.7229729729729728"/>
    <n v="2.9"/>
    <n v="3"/>
    <n v="57.7"/>
    <n v="96.8"/>
  </r>
  <r>
    <x v="18"/>
    <s v="Driver S"/>
    <d v="2026-01-01T00:00:00"/>
    <n v="401.5"/>
    <n v="78.900000000000006"/>
    <n v="5.08871989860583"/>
    <n v="0.6"/>
    <n v="8"/>
    <n v="58.6"/>
    <n v="95.5"/>
  </r>
  <r>
    <x v="18"/>
    <s v="Driver S"/>
    <d v="2026-02-25T00:00:00"/>
    <n v="384"/>
    <n v="99.3"/>
    <n v="3.8670694864048341"/>
    <n v="0.3"/>
    <n v="7"/>
    <n v="37.799999999999997"/>
    <n v="88.2"/>
  </r>
  <r>
    <x v="18"/>
    <s v="Driver S"/>
    <d v="2026-02-19T00:00:00"/>
    <n v="211.3"/>
    <n v="41.7"/>
    <n v="5.0671462829736207"/>
    <n v="3.8"/>
    <n v="3"/>
    <n v="40.6"/>
    <n v="89.8"/>
  </r>
  <r>
    <x v="18"/>
    <s v="Driver S"/>
    <d v="2026-03-25T00:00:00"/>
    <n v="360.6"/>
    <n v="105.8"/>
    <n v="3.408317580340265"/>
    <n v="2.1"/>
    <n v="1"/>
    <n v="43.3"/>
    <n v="89.8"/>
  </r>
  <r>
    <x v="18"/>
    <s v="Driver S"/>
    <d v="2026-02-27T00:00:00"/>
    <n v="112.6"/>
    <n v="27.2"/>
    <n v="4.1397058823529411"/>
    <n v="1.6"/>
    <n v="8"/>
    <n v="63.5"/>
    <n v="85.3"/>
  </r>
  <r>
    <x v="18"/>
    <s v="Driver S"/>
    <d v="2026-01-16T00:00:00"/>
    <n v="365.7"/>
    <n v="91.1"/>
    <n v="4.0142700329308454"/>
    <n v="3"/>
    <n v="3"/>
    <n v="73.400000000000006"/>
    <n v="85.1"/>
  </r>
  <r>
    <x v="18"/>
    <s v="Driver S"/>
    <d v="2026-01-13T00:00:00"/>
    <n v="237.4"/>
    <n v="68.099999999999994"/>
    <n v="3.4860499265785614"/>
    <n v="3.5"/>
    <n v="2"/>
    <n v="42.7"/>
    <n v="98.2"/>
  </r>
  <r>
    <x v="18"/>
    <s v="Driver S"/>
    <d v="2026-02-02T00:00:00"/>
    <n v="336.9"/>
    <n v="62.3"/>
    <n v="5.4077046548956664"/>
    <n v="2.6"/>
    <n v="4"/>
    <n v="64.099999999999994"/>
    <n v="99.4"/>
  </r>
  <r>
    <x v="18"/>
    <s v="Driver S"/>
    <d v="2026-03-29T00:00:00"/>
    <n v="164.6"/>
    <n v="53.6"/>
    <n v="3.0708955223880596"/>
    <n v="1.4"/>
    <n v="4"/>
    <n v="55"/>
    <n v="97.8"/>
  </r>
  <r>
    <x v="18"/>
    <s v="Driver S"/>
    <d v="2026-02-25T00:00:00"/>
    <n v="273.7"/>
    <n v="60.5"/>
    <n v="4.5239669421487605"/>
    <n v="1.5"/>
    <n v="6"/>
    <n v="51.7"/>
    <n v="88.4"/>
  </r>
  <r>
    <x v="18"/>
    <s v="Driver S"/>
    <d v="2026-01-24T00:00:00"/>
    <n v="281.10000000000002"/>
    <n v="76.5"/>
    <n v="3.6745098039215689"/>
    <n v="2.2000000000000002"/>
    <n v="3"/>
    <n v="33.1"/>
    <n v="87.3"/>
  </r>
  <r>
    <x v="18"/>
    <s v="Driver S"/>
    <d v="2026-03-15T00:00:00"/>
    <n v="137.19999999999999"/>
    <n v="47.3"/>
    <n v="2.9006342494714588"/>
    <n v="1.7"/>
    <n v="3"/>
    <n v="41.9"/>
    <m/>
  </r>
  <r>
    <x v="18"/>
    <s v="Driver S"/>
    <d v="2026-02-18T00:00:00"/>
    <n v="109"/>
    <n v="36.9"/>
    <n v="2.9539295392953933"/>
    <n v="3.5"/>
    <n v="6"/>
    <n v="69.599999999999994"/>
    <n v="91.5"/>
  </r>
  <r>
    <x v="18"/>
    <s v="Driver S"/>
    <d v="2026-01-12T00:00:00"/>
    <n v="121.6"/>
    <n v="31"/>
    <n v="3.9225806451612901"/>
    <n v="1.8"/>
    <n v="4"/>
    <n v="44.4"/>
    <n v="93.9"/>
  </r>
  <r>
    <x v="18"/>
    <s v="Driver S"/>
    <d v="2026-03-19T00:00:00"/>
    <n v="190.4"/>
    <n v="36"/>
    <n v="5.2888888888888888"/>
    <n v="0.4"/>
    <n v="7"/>
    <n v="74.7"/>
    <n v="87.4"/>
  </r>
  <r>
    <x v="18"/>
    <s v="Driver S"/>
    <d v="2026-02-09T00:00:00"/>
    <n v="306.8"/>
    <n v="58.6"/>
    <n v="5.2354948805460753"/>
    <n v="2.5"/>
    <n v="1"/>
    <n v="51.1"/>
    <n v="92.7"/>
  </r>
  <r>
    <x v="18"/>
    <s v="Driver S"/>
    <d v="2026-02-20T00:00:00"/>
    <n v="250.6"/>
    <n v="54.2"/>
    <n v="4.6236162361623609"/>
    <n v="1.2"/>
    <n v="4"/>
    <n v="53.4"/>
    <n v="95.2"/>
  </r>
  <r>
    <x v="18"/>
    <s v="Driver S"/>
    <d v="2026-01-31T00:00:00"/>
    <n v="261"/>
    <n v="87.9"/>
    <n v="2.9692832764505117"/>
    <n v="2.5"/>
    <n v="5"/>
    <n v="52.5"/>
    <n v="99.5"/>
  </r>
  <r>
    <x v="18"/>
    <s v="Driver S"/>
    <d v="2026-01-09T00:00:00"/>
    <n v="382.6"/>
    <n v="123.9"/>
    <n v="3.0879741727199357"/>
    <n v="2.2999999999999998"/>
    <n v="4"/>
    <n v="32.799999999999997"/>
    <n v="88"/>
  </r>
  <r>
    <x v="18"/>
    <s v="Driver S"/>
    <d v="2026-02-06T00:00:00"/>
    <n v="234"/>
    <n v="47"/>
    <n v="4.9787234042553195"/>
    <n v="3.5"/>
    <n v="3"/>
    <n v="39.299999999999997"/>
    <n v="94.6"/>
  </r>
  <r>
    <x v="18"/>
    <s v="Driver S"/>
    <d v="2026-01-20T00:00:00"/>
    <n v="418.1"/>
    <n v="80"/>
    <n v="5.2262500000000003"/>
    <n v="2"/>
    <n v="1"/>
    <n v="31.8"/>
    <n v="92.1"/>
  </r>
  <r>
    <x v="19"/>
    <s v="Driver T"/>
    <d v="2026-03-14T00:00:00"/>
    <n v="191.4"/>
    <n v="44.7"/>
    <n v="4.2818791946308723"/>
    <n v="0.2"/>
    <n v="5"/>
    <n v="39.5"/>
    <n v="96.8"/>
  </r>
  <r>
    <x v="19"/>
    <s v="Driver T"/>
    <d v="2026-03-25T00:00:00"/>
    <n v="199.2"/>
    <n v="49.9"/>
    <n v="3.9919839679358717"/>
    <n v="3.1"/>
    <n v="8"/>
    <n v="65.7"/>
    <n v="99.4"/>
  </r>
  <r>
    <x v="19"/>
    <s v="Driver T"/>
    <d v="2026-03-06T00:00:00"/>
    <n v="237.9"/>
    <n v="45.3"/>
    <n v="5.2516556291390737"/>
    <n v="2.1"/>
    <n v="3"/>
    <n v="63.5"/>
    <n v="92.1"/>
  </r>
  <r>
    <x v="19"/>
    <s v="Driver T"/>
    <d v="2026-03-10T00:00:00"/>
    <n v="90"/>
    <n v="23.3"/>
    <n v="3.8626609442060085"/>
    <n v="2.6"/>
    <n v="1"/>
    <n v="33.799999999999997"/>
    <n v="91.4"/>
  </r>
  <r>
    <x v="19"/>
    <s v="Driver T"/>
    <d v="2026-01-15T00:00:00"/>
    <n v="367.8"/>
    <n v="113.4"/>
    <n v="3.2433862433862433"/>
    <n v="1.5"/>
    <n v="1"/>
    <n v="71.8"/>
    <n v="93.6"/>
  </r>
  <r>
    <x v="19"/>
    <s v="Driver T"/>
    <d v="2026-01-16T00:00:00"/>
    <n v="374.6"/>
    <n v="86.6"/>
    <n v="4.3256351039260972"/>
    <n v="0.4"/>
    <n v="7"/>
    <n v="59.8"/>
    <n v="86"/>
  </r>
  <r>
    <x v="19"/>
    <s v="Driver T"/>
    <d v="2026-01-03T00:00:00"/>
    <n v="98.7"/>
    <m/>
    <n v="0"/>
    <n v="4.5"/>
    <n v="4"/>
    <n v="33.1"/>
    <n v="96.5"/>
  </r>
  <r>
    <x v="19"/>
    <s v="Driver T"/>
    <d v="2026-01-19T00:00:00"/>
    <n v="104.3"/>
    <n v="29.4"/>
    <n v="3.5476190476190479"/>
    <n v="2.9"/>
    <n v="6"/>
    <n v="47.1"/>
    <n v="94"/>
  </r>
  <r>
    <x v="19"/>
    <s v="Driver T"/>
    <d v="2026-03-20T00:00:00"/>
    <n v="329.7"/>
    <n v="76.599999999999994"/>
    <n v="4.304177545691906"/>
    <n v="2.8"/>
    <n v="5"/>
    <n v="31.3"/>
    <n v="89.1"/>
  </r>
  <r>
    <x v="19"/>
    <s v="Driver T"/>
    <d v="2026-01-21T00:00:00"/>
    <n v="214.6"/>
    <n v="40.700000000000003"/>
    <n v="5.2727272727272725"/>
    <n v="1.9"/>
    <n v="6"/>
    <n v="60.6"/>
    <n v="85.8"/>
  </r>
  <r>
    <x v="19"/>
    <s v="Driver T"/>
    <d v="2026-01-20T00:00:00"/>
    <n v="203.3"/>
    <n v="46.5"/>
    <n v="4.3720430107526882"/>
    <n v="0.8"/>
    <n v="6"/>
    <n v="44"/>
    <n v="94.8"/>
  </r>
  <r>
    <x v="19"/>
    <s v="Driver T"/>
    <d v="2026-01-17T00:00:00"/>
    <n v="301"/>
    <n v="93.6"/>
    <n v="3.2158119658119659"/>
    <n v="1"/>
    <n v="3"/>
    <n v="62.5"/>
    <m/>
  </r>
  <r>
    <x v="19"/>
    <s v="Driver T"/>
    <d v="2026-03-09T00:00:00"/>
    <n v="236.6"/>
    <n v="48.3"/>
    <n v="4.8985507246376816"/>
    <n v="1.2"/>
    <n v="2"/>
    <n v="32.1"/>
    <n v="91.3"/>
  </r>
  <r>
    <x v="19"/>
    <s v="Driver T"/>
    <d v="2026-02-28T00:00:00"/>
    <n v="103.2"/>
    <n v="20.399999999999999"/>
    <n v="5.0588235294117654"/>
    <n v="2.2999999999999998"/>
    <n v="1"/>
    <n v="58.4"/>
    <n v="93.6"/>
  </r>
  <r>
    <x v="19"/>
    <s v="Driver T"/>
    <d v="2026-03-28T00:00:00"/>
    <n v="369.1"/>
    <n v="127.5"/>
    <n v="2.8949019607843138"/>
    <n v="0.5"/>
    <n v="6"/>
    <n v="46.3"/>
    <n v="99.2"/>
  </r>
  <r>
    <x v="19"/>
    <s v="Driver T"/>
    <d v="2026-03-29T00:00:00"/>
    <n v="306.10000000000002"/>
    <n v="97.3"/>
    <n v="3.1459403905447072"/>
    <n v="0.6"/>
    <n v="6"/>
    <n v="65.8"/>
    <n v="90.1"/>
  </r>
  <r>
    <x v="19"/>
    <s v="Driver T"/>
    <d v="2026-03-19T00:00:00"/>
    <n v="94.6"/>
    <n v="31.6"/>
    <n v="2.9936708860759489"/>
    <n v="3.7"/>
    <n v="4"/>
    <n v="51.6"/>
    <n v="98"/>
  </r>
  <r>
    <x v="19"/>
    <s v="Driver T"/>
    <d v="2026-03-03T00:00:00"/>
    <n v="323.89999999999998"/>
    <n v="113.9"/>
    <n v="2.8437225636523262"/>
    <n v="2.5"/>
    <n v="7"/>
    <n v="30.5"/>
    <n v="92.9"/>
  </r>
  <r>
    <x v="19"/>
    <s v="Driver T"/>
    <d v="2026-01-18T00:00:00"/>
    <n v="191.2"/>
    <n v="43.2"/>
    <n v="4.4259259259259256"/>
    <n v="3.2"/>
    <n v="8"/>
    <n v="44.1"/>
    <n v="99.5"/>
  </r>
  <r>
    <x v="19"/>
    <s v="Driver T"/>
    <d v="2026-02-19T00:00:00"/>
    <n v="306.2"/>
    <n v="69.8"/>
    <n v="4.3868194842406876"/>
    <n v="1.7"/>
    <n v="8"/>
    <n v="57.8"/>
    <n v="97.2"/>
  </r>
  <r>
    <x v="19"/>
    <s v="Driver T"/>
    <d v="2026-03-25T00:00:00"/>
    <n v="140.69999999999999"/>
    <n v="37.5"/>
    <n v="3.7519999999999998"/>
    <n v="1.1000000000000001"/>
    <n v="3"/>
    <n v="71.400000000000006"/>
    <n v="94.2"/>
  </r>
  <r>
    <x v="19"/>
    <s v="Driver T"/>
    <d v="2026-02-15T00:00:00"/>
    <n v="162.6"/>
    <n v="37"/>
    <n v="4.3945945945945946"/>
    <n v="1"/>
    <n v="5"/>
    <n v="63"/>
    <n v="89.4"/>
  </r>
  <r>
    <x v="19"/>
    <s v="Driver T"/>
    <d v="2026-01-29T00:00:00"/>
    <n v="316.7"/>
    <n v="102.8"/>
    <n v="3.0807392996108951"/>
    <n v="2.2999999999999998"/>
    <n v="6"/>
    <n v="63.5"/>
    <n v="88.6"/>
  </r>
  <r>
    <x v="19"/>
    <s v="Driver T"/>
    <d v="2026-02-25T00:00:00"/>
    <n v="138.1"/>
    <n v="44.9"/>
    <n v="3.0757238307349666"/>
    <n v="1.1000000000000001"/>
    <n v="4"/>
    <n v="48.4"/>
    <n v="93.3"/>
  </r>
  <r>
    <x v="19"/>
    <s v="Driver T"/>
    <d v="2026-03-02T00:00:00"/>
    <n v="93.9"/>
    <n v="26.5"/>
    <n v="3.5433962264150947"/>
    <n v="0.8"/>
    <n v="7"/>
    <n v="31.7"/>
    <n v="98.3"/>
  </r>
  <r>
    <x v="19"/>
    <s v="Driver T"/>
    <d v="2026-02-20T00:00:00"/>
    <n v="296.3"/>
    <n v="105.1"/>
    <n v="2.8192197906755472"/>
    <n v="4.5"/>
    <n v="6"/>
    <n v="55.3"/>
    <n v="93.9"/>
  </r>
  <r>
    <x v="19"/>
    <s v="Driver T"/>
    <d v="2026-03-02T00:00:00"/>
    <n v="345.2"/>
    <n v="91.3"/>
    <n v="3.7809419496166483"/>
    <n v="2.1"/>
    <n v="2"/>
    <n v="64.2"/>
    <n v="88.3"/>
  </r>
  <r>
    <x v="19"/>
    <s v="Driver T"/>
    <d v="2026-02-26T00:00:00"/>
    <n v="387.1"/>
    <n v="73.599999999999994"/>
    <n v="5.2595108695652177"/>
    <n v="3.2"/>
    <n v="6"/>
    <n v="64"/>
    <n v="93.2"/>
  </r>
  <r>
    <x v="19"/>
    <s v="Driver T"/>
    <d v="2026-01-26T00:00:00"/>
    <n v="367.2"/>
    <n v="68"/>
    <n v="5.3999999999999995"/>
    <n v="1.5"/>
    <n v="3"/>
    <n v="74.3"/>
    <n v="86.1"/>
  </r>
  <r>
    <x v="19"/>
    <s v="Driver T"/>
    <d v="2026-03-26T00:00:00"/>
    <n v="191.4"/>
    <n v="38.799999999999997"/>
    <n v="4.9329896907216497"/>
    <n v="2.6"/>
    <n v="2"/>
    <n v="65.3"/>
    <n v="89.8"/>
  </r>
  <r>
    <x v="19"/>
    <s v="Driver T"/>
    <d v="2026-03-29T00:00:00"/>
    <n v="141.4"/>
    <n v="33.799999999999997"/>
    <n v="4.1834319526627226"/>
    <n v="2.1"/>
    <n v="3"/>
    <n v="55.5"/>
    <n v="93.5"/>
  </r>
  <r>
    <x v="19"/>
    <s v="Driver T"/>
    <d v="2026-01-16T00:00:00"/>
    <n v="324.60000000000002"/>
    <n v="82.8"/>
    <n v="3.9202898550724643"/>
    <n v="1.6"/>
    <n v="2"/>
    <n v="51.7"/>
    <n v="92.2"/>
  </r>
  <r>
    <x v="19"/>
    <s v="Driver T"/>
    <d v="2026-03-02T00:00:00"/>
    <n v="400.9"/>
    <n v="123"/>
    <n v="3.2593495934959349"/>
    <n v="3.8"/>
    <n v="3"/>
    <n v="65.8"/>
    <n v="97.3"/>
  </r>
  <r>
    <x v="19"/>
    <s v="Driver T"/>
    <d v="2026-03-11T00:00:00"/>
    <n v="386.2"/>
    <n v="74"/>
    <n v="5.2189189189189191"/>
    <n v="3.5"/>
    <n v="7"/>
    <n v="53.5"/>
    <n v="90.6"/>
  </r>
  <r>
    <x v="19"/>
    <s v="Driver T"/>
    <d v="2026-01-26T00:00:00"/>
    <n v="293.39999999999998"/>
    <n v="64.400000000000006"/>
    <n v="4.5559006211180115"/>
    <n v="2.5"/>
    <n v="5"/>
    <n v="46"/>
    <n v="95.1"/>
  </r>
  <r>
    <x v="19"/>
    <s v="Driver T"/>
    <d v="2026-02-16T00:00:00"/>
    <n v="367.1"/>
    <n v="106.6"/>
    <n v="3.4437148217636024"/>
    <n v="3.3"/>
    <n v="7"/>
    <n v="38.5"/>
    <n v="95.2"/>
  </r>
  <r>
    <x v="19"/>
    <s v="Driver T"/>
    <d v="2026-01-19T00:00:00"/>
    <n v="401.4"/>
    <n v="80.099999999999994"/>
    <n v="5.01123595505618"/>
    <n v="0.3"/>
    <n v="2"/>
    <n v="43.7"/>
    <n v="92.1"/>
  </r>
  <r>
    <x v="19"/>
    <s v="Driver T"/>
    <d v="2026-01-30T00:00:00"/>
    <n v="165.4"/>
    <n v="57.6"/>
    <n v="2.8715277777777777"/>
    <n v="0.5"/>
    <n v="8"/>
    <n v="36"/>
    <n v="97.7"/>
  </r>
  <r>
    <x v="19"/>
    <s v="Driver T"/>
    <d v="2026-02-18T00:00:00"/>
    <n v="346.5"/>
    <n v="89.7"/>
    <n v="3.8628762541806019"/>
    <n v="4.2"/>
    <n v="1"/>
    <n v="53.4"/>
    <n v="91.8"/>
  </r>
  <r>
    <x v="19"/>
    <s v="Driver T"/>
    <d v="2026-01-07T00:00:00"/>
    <n v="335.3"/>
    <n v="64"/>
    <n v="5.2390625000000002"/>
    <n v="2.2000000000000002"/>
    <n v="8"/>
    <n v="34.1"/>
    <n v="92.5"/>
  </r>
  <r>
    <x v="19"/>
    <s v="Driver T"/>
    <d v="2026-03-17T00:00:00"/>
    <n v="312.89999999999998"/>
    <n v="67.099999999999994"/>
    <n v="4.6631892697466473"/>
    <n v="2.1"/>
    <n v="6"/>
    <n v="44.1"/>
    <n v="97.3"/>
  </r>
  <r>
    <x v="19"/>
    <s v="Driver T"/>
    <d v="2026-02-18T00:00:00"/>
    <n v="201.1"/>
    <n v="44.3"/>
    <n v="4.5395033860045144"/>
    <n v="0.5"/>
    <n v="4"/>
    <n v="66.8"/>
    <n v="98.3"/>
  </r>
  <r>
    <x v="19"/>
    <s v="Driver T"/>
    <d v="2026-01-12T00:00:00"/>
    <n v="170.7"/>
    <n v="37.9"/>
    <n v="4.5039577836411606"/>
    <n v="3.1"/>
    <n v="2"/>
    <n v="60.8"/>
    <n v="93.1"/>
  </r>
  <r>
    <x v="19"/>
    <s v="Driver T"/>
    <d v="2026-02-08T00:00:00"/>
    <n v="349"/>
    <n v="80.7"/>
    <n v="4.3246592317224284"/>
    <n v="0.5"/>
    <n v="8"/>
    <n v="56"/>
    <n v="93.6"/>
  </r>
  <r>
    <x v="19"/>
    <s v="Driver T"/>
    <d v="2026-03-26T00:00:00"/>
    <n v="410.8"/>
    <n v="121.3"/>
    <n v="3.3866446826051115"/>
    <n v="2.8"/>
    <n v="2"/>
    <n v="61.9"/>
    <n v="86.8"/>
  </r>
  <r>
    <x v="19"/>
    <s v="Driver T"/>
    <d v="2026-01-17T00:00:00"/>
    <n v="219.1"/>
    <n v="45.1"/>
    <n v="4.8580931263858087"/>
    <n v="3"/>
    <n v="3"/>
    <n v="70.3"/>
    <n v="95.4"/>
  </r>
  <r>
    <x v="19"/>
    <s v="Driver T"/>
    <d v="2026-02-18T00:00:00"/>
    <n v="367.7"/>
    <n v="129.4"/>
    <n v="2.8415765069551777"/>
    <n v="2.2999999999999998"/>
    <n v="1"/>
    <n v="30.3"/>
    <n v="98.9"/>
  </r>
  <r>
    <x v="19"/>
    <s v="Driver T"/>
    <d v="2026-01-12T00:00:00"/>
    <n v="312.10000000000002"/>
    <n v="63.5"/>
    <n v="4.9149606299212598"/>
    <n v="1.7"/>
    <n v="1"/>
    <n v="55.1"/>
    <n v="87.9"/>
  </r>
  <r>
    <x v="19"/>
    <s v="Driver T"/>
    <d v="2026-01-06T00:00:00"/>
    <n v="215.3"/>
    <n v="65.8"/>
    <n v="3.2720364741641341"/>
    <n v="2.6"/>
    <n v="2"/>
    <n v="55.2"/>
    <n v="9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6C590-C786-4F54-A399-2C592F1A672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:F17" firstHeaderRow="1" firstDataRow="1" firstDataCol="1"/>
  <pivotFields count="10">
    <pivotField axis="axisRow" showAll="0" measure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2"/>
    </i>
    <i>
      <x v="4"/>
    </i>
    <i>
      <x v="10"/>
    </i>
    <i>
      <x v="17"/>
    </i>
    <i>
      <x v="19"/>
    </i>
    <i t="grand">
      <x/>
    </i>
  </rowItems>
  <colItems count="1">
    <i/>
  </colItems>
  <dataFields count="1">
    <dataField name="Sum of Fuel_Consumed_L" fld="4" baseField="0" baseItem="0" numFmtId="165"/>
  </dataFields>
  <formats count="2">
    <format dxfId="23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ECB3E-0DE6-4EEB-8144-27641825356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C17" firstHeaderRow="1" firstDataRow="1" firstDataCol="1"/>
  <pivotFields count="10">
    <pivotField axis="axisRow" showAll="0" measureFilter="1" sortType="a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2"/>
    </i>
    <i>
      <x v="4"/>
    </i>
    <i>
      <x v="10"/>
    </i>
    <i>
      <x v="17"/>
    </i>
    <i>
      <x v="19"/>
    </i>
    <i t="grand">
      <x/>
    </i>
  </rowItems>
  <colItems count="1">
    <i/>
  </colItems>
  <dataFields count="1">
    <dataField name="Sum of Distance_KM" fld="3" baseField="0" baseItem="0" numFmtId="165"/>
  </dataFields>
  <formats count="2">
    <format dxfId="25">
      <pivotArea outline="0" collapsedLevelsAreSubtotals="1" fieldPosition="0"/>
    </format>
    <format dxfId="24">
      <pivotArea dataOnly="0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C6B5B-C495-432B-8326-818C432BA7C6}" name="PivotTable5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L16:AG18" firstHeaderRow="1" firstDataRow="2" firstDataCol="1"/>
  <pivotFields count="10">
    <pivotField axis="axisCol" showAll="0" measureFilter="1" sortType="a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0"/>
  </colFields>
  <colItems count="21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Average of Route_Compliance_Pct" fld="9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10" iMeasureFld="0">
      <autoFilter ref="A1">
        <filterColumn colId="0">
          <top10 top="0"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E36AB-0614-48E9-90B4-2767C22CCD00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L7:R9" firstHeaderRow="1" firstDataRow="2" firstDataCol="1"/>
  <pivotFields count="10">
    <pivotField showAll="0"/>
    <pivotField axis="axisCol" showAll="0" measureFilter="1" sortType="descending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1"/>
  </colFields>
  <colItems count="6">
    <i>
      <x v="3"/>
    </i>
    <i>
      <x v="9"/>
    </i>
    <i>
      <x v="10"/>
    </i>
    <i>
      <x v="11"/>
    </i>
    <i>
      <x v="20"/>
    </i>
    <i t="grand">
      <x/>
    </i>
  </colItems>
  <dataFields count="1">
    <dataField name="Average of Idle_Time_Hrs" fld="6" subtotal="average" baseField="1" baseItem="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98220-469A-4217-84CA-8DEEAE340FAF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6:Q27" firstHeaderRow="1" firstDataRow="1" firstDataCol="1" rowPageCount="1" colPageCount="1"/>
  <pivotFields count="6">
    <pivotField axis="axisRow" showAll="0" measureFilter="1" sortType="descending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dataField="1" showAll="0"/>
    <pivotField showAll="0"/>
  </pivotFields>
  <rowFields count="1">
    <field x="0"/>
  </rowFields>
  <rowItems count="21">
    <i>
      <x v="14"/>
    </i>
    <i>
      <x v="15"/>
    </i>
    <i>
      <x v="8"/>
    </i>
    <i>
      <x v="13"/>
    </i>
    <i>
      <x v="19"/>
    </i>
    <i>
      <x/>
    </i>
    <i>
      <x v="2"/>
    </i>
    <i>
      <x v="6"/>
    </i>
    <i>
      <x v="1"/>
    </i>
    <i>
      <x v="16"/>
    </i>
    <i>
      <x v="17"/>
    </i>
    <i>
      <x v="3"/>
    </i>
    <i>
      <x v="9"/>
    </i>
    <i>
      <x v="18"/>
    </i>
    <i>
      <x v="7"/>
    </i>
    <i>
      <x v="12"/>
    </i>
    <i>
      <x v="5"/>
    </i>
    <i>
      <x v="10"/>
    </i>
    <i>
      <x v="11"/>
    </i>
    <i>
      <x v="4"/>
    </i>
    <i t="grand">
      <x/>
    </i>
  </rowItems>
  <colItems count="1">
    <i/>
  </colItems>
  <pageFields count="1">
    <pageField fld="3" hier="-1"/>
  </pageFields>
  <dataFields count="1">
    <dataField name="Fuel Drop Incidents" fld="4" subtotal="count" baseField="0" baseItem="0"/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top="0"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528F0-2657-4CFF-BFDF-7070C93FD481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6:I41" firstHeaderRow="1" firstDataRow="1" firstDataCol="1" rowPageCount="1" colPageCount="1"/>
  <pivotFields count="6">
    <pivotField showAll="0"/>
    <pivotField numFmtId="164" showAll="0"/>
    <pivotField axis="axisRow" numFmtId="2" showAll="0">
      <items count="25">
        <item x="15"/>
        <item x="9"/>
        <item x="4"/>
        <item x="5"/>
        <item x="7"/>
        <item x="17"/>
        <item x="19"/>
        <item x="14"/>
        <item x="16"/>
        <item x="8"/>
        <item x="20"/>
        <item x="13"/>
        <item x="10"/>
        <item x="22"/>
        <item x="0"/>
        <item x="6"/>
        <item x="11"/>
        <item x="18"/>
        <item x="21"/>
        <item x="12"/>
        <item x="3"/>
        <item x="2"/>
        <item x="1"/>
        <item x="23"/>
        <item t="default"/>
      </items>
    </pivotField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dataField="1"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3" hier="-1"/>
  </pageFields>
  <dataFields count="1">
    <dataField name="Count of Quantity_L" fld="4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E28C6-E881-4B67-A992-AE22A8D8BF2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3:K8" firstHeaderRow="0" firstDataRow="1" firstDataCol="1"/>
  <pivotFields count="6">
    <pivotField showAll="0"/>
    <pivotField showAll="0"/>
    <pivotField numFmtId="2"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Quantity_L" fld="4" subtotal="count" baseField="3" baseItem="0"/>
    <dataField name="Average of Quantity_L" fld="4" subtotal="average" baseField="3" baseItem="0"/>
    <dataField name="Max of Quantity_L" fld="4" subtotal="max" baseField="3" baseItem="0"/>
  </dataFields>
  <formats count="2">
    <format dxfId="26">
      <pivotArea collapsedLevelsAreSubtotals="1" fieldPosition="0">
        <references count="2">
          <reference field="4294967294" count="1" selected="0">
            <x v="1"/>
          </reference>
          <reference field="3" count="4">
            <x v="0"/>
            <x v="1"/>
            <x v="2"/>
            <x v="3"/>
          </reference>
        </references>
      </pivotArea>
    </format>
    <format dxfId="1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4B4A6-3A41-43E3-8560-50FAD01D762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24" firstHeaderRow="1" firstDataRow="1" firstDataCol="1"/>
  <pivotFields count="10">
    <pivotField axis="axisRow" showAll="0" sortType="ascending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numFmtId="2" showAll="0"/>
    <pivotField showAll="0"/>
    <pivotField showAll="0"/>
    <pivotField showAll="0"/>
    <pivotField dataField="1" showAll="0"/>
  </pivotFields>
  <rowFields count="1">
    <field x="0"/>
  </rowFields>
  <rowItems count="21">
    <i>
      <x v="8"/>
    </i>
    <i>
      <x v="19"/>
    </i>
    <i>
      <x v="16"/>
    </i>
    <i>
      <x v="1"/>
    </i>
    <i>
      <x v="17"/>
    </i>
    <i>
      <x v="3"/>
    </i>
    <i>
      <x v="18"/>
    </i>
    <i>
      <x v="2"/>
    </i>
    <i>
      <x v="14"/>
    </i>
    <i>
      <x v="12"/>
    </i>
    <i>
      <x v="6"/>
    </i>
    <i>
      <x v="13"/>
    </i>
    <i>
      <x v="4"/>
    </i>
    <i>
      <x v="7"/>
    </i>
    <i>
      <x v="5"/>
    </i>
    <i>
      <x v="11"/>
    </i>
    <i>
      <x v="10"/>
    </i>
    <i>
      <x v="9"/>
    </i>
    <i>
      <x/>
    </i>
    <i>
      <x v="15"/>
    </i>
    <i t="grand">
      <x/>
    </i>
  </rowItems>
  <colItems count="1">
    <i/>
  </colItems>
  <dataFields count="1">
    <dataField name="Average of Route_Compliance_Pct" fld="9" subtotal="average" baseField="0" baseItem="0"/>
  </dataFields>
  <formats count="2">
    <format dxfId="21">
      <pivotArea collapsedLevelsAreSubtotals="1" fieldPosition="0">
        <references count="1">
          <reference field="0" count="0"/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DFD6D-0693-4467-8759-D3EF9E5C0F1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 rowPageCount="1" colPageCount="1"/>
  <pivotFields count="6">
    <pivotField axis="axisRow" showAll="0" sortType="de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dataField="1" showAll="0"/>
    <pivotField showAll="0"/>
  </pivotFields>
  <rowFields count="1">
    <field x="0"/>
  </rowFields>
  <rowItems count="21">
    <i>
      <x v="11"/>
    </i>
    <i>
      <x v="5"/>
    </i>
    <i>
      <x v="4"/>
    </i>
    <i>
      <x v="6"/>
    </i>
    <i>
      <x/>
    </i>
    <i>
      <x v="13"/>
    </i>
    <i>
      <x v="17"/>
    </i>
    <i>
      <x v="19"/>
    </i>
    <i>
      <x v="18"/>
    </i>
    <i>
      <x v="2"/>
    </i>
    <i>
      <x v="16"/>
    </i>
    <i>
      <x v="3"/>
    </i>
    <i>
      <x v="10"/>
    </i>
    <i>
      <x v="7"/>
    </i>
    <i>
      <x v="12"/>
    </i>
    <i>
      <x v="1"/>
    </i>
    <i>
      <x v="14"/>
    </i>
    <i>
      <x v="9"/>
    </i>
    <i>
      <x v="15"/>
    </i>
    <i>
      <x v="8"/>
    </i>
    <i t="grand">
      <x/>
    </i>
  </rowItems>
  <colItems count="1">
    <i/>
  </colItems>
  <pageFields count="1">
    <pageField fld="3" hier="-1"/>
  </pageFields>
  <dataFields count="1">
    <dataField name="Count of Quantity_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F417-4E38-43C5-B4DA-A559C8C0F319}">
  <dimension ref="A3:I18"/>
  <sheetViews>
    <sheetView workbookViewId="0">
      <selection activeCell="B4" sqref="B4:C6"/>
    </sheetView>
  </sheetViews>
  <sheetFormatPr defaultRowHeight="14.4" x14ac:dyDescent="0.3"/>
  <cols>
    <col min="2" max="2" width="23.88671875" bestFit="1" customWidth="1"/>
    <col min="6" max="6" width="10.21875" customWidth="1"/>
  </cols>
  <sheetData>
    <row r="3" spans="1:9" x14ac:dyDescent="0.3">
      <c r="B3" s="21" t="s">
        <v>68</v>
      </c>
      <c r="C3" s="22"/>
      <c r="E3" s="23" t="s">
        <v>69</v>
      </c>
      <c r="F3" s="24"/>
      <c r="H3" s="23" t="s">
        <v>73</v>
      </c>
      <c r="I3" s="24"/>
    </row>
    <row r="4" spans="1:9" x14ac:dyDescent="0.3">
      <c r="B4" s="25">
        <f>SUM(COUNTBLANK(Fleet_Data!E2:E811), COUNTBLANK(Fleet_Data!G2:G811), COUNTBLANK(Fleet_Data!J2:J811),COUNTBLANK(Fleet_Data!J2:J811))</f>
        <v>20</v>
      </c>
      <c r="C4" s="26"/>
      <c r="E4" s="25">
        <f>COUNTIF(Fleet_Data!K2:K811, "Duplicate")</f>
        <v>163</v>
      </c>
      <c r="F4" s="26"/>
      <c r="H4" s="25">
        <f>COUNTIF(Fleet_Data!L2:L811, "Extreme Idle Outlier") + COUNTIF(Fleet_Data!M2:M811, "Suspiciously Low Efficiency")</f>
        <v>69</v>
      </c>
      <c r="I4" s="26"/>
    </row>
    <row r="5" spans="1:9" x14ac:dyDescent="0.3">
      <c r="B5" s="27"/>
      <c r="C5" s="28"/>
      <c r="E5" s="27"/>
      <c r="F5" s="28"/>
      <c r="H5" s="27"/>
      <c r="I5" s="28"/>
    </row>
    <row r="6" spans="1:9" x14ac:dyDescent="0.3">
      <c r="B6" s="29"/>
      <c r="C6" s="30"/>
      <c r="E6" s="29"/>
      <c r="F6" s="30"/>
      <c r="H6" s="29"/>
      <c r="I6" s="30"/>
    </row>
    <row r="9" spans="1:9" x14ac:dyDescent="0.3">
      <c r="B9" s="7" t="s">
        <v>74</v>
      </c>
    </row>
    <row r="10" spans="1:9" x14ac:dyDescent="0.3">
      <c r="A10">
        <v>1</v>
      </c>
      <c r="B10" t="s">
        <v>75</v>
      </c>
    </row>
    <row r="11" spans="1:9" x14ac:dyDescent="0.3">
      <c r="A11">
        <v>2</v>
      </c>
      <c r="B11" t="s">
        <v>76</v>
      </c>
    </row>
    <row r="12" spans="1:9" x14ac:dyDescent="0.3">
      <c r="A12">
        <v>3</v>
      </c>
      <c r="B12" t="s">
        <v>77</v>
      </c>
    </row>
    <row r="13" spans="1:9" x14ac:dyDescent="0.3">
      <c r="A13">
        <v>4</v>
      </c>
      <c r="B13" t="s">
        <v>78</v>
      </c>
    </row>
    <row r="15" spans="1:9" x14ac:dyDescent="0.3">
      <c r="B15" s="7" t="s">
        <v>79</v>
      </c>
    </row>
    <row r="16" spans="1:9" x14ac:dyDescent="0.3">
      <c r="A16">
        <v>1</v>
      </c>
      <c r="B16" t="s">
        <v>82</v>
      </c>
    </row>
    <row r="17" spans="1:2" x14ac:dyDescent="0.3">
      <c r="A17">
        <v>2</v>
      </c>
      <c r="B17" t="s">
        <v>81</v>
      </c>
    </row>
    <row r="18" spans="1:2" x14ac:dyDescent="0.3">
      <c r="A18">
        <v>3</v>
      </c>
      <c r="B18" t="s">
        <v>80</v>
      </c>
    </row>
  </sheetData>
  <mergeCells count="6">
    <mergeCell ref="B3:C3"/>
    <mergeCell ref="E3:F3"/>
    <mergeCell ref="E4:F6"/>
    <mergeCell ref="H3:I3"/>
    <mergeCell ref="H4:I6"/>
    <mergeCell ref="B4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7104-E00A-4C89-9171-C1BA7790FBD9}">
  <dimension ref="A1:Q17"/>
  <sheetViews>
    <sheetView workbookViewId="0">
      <selection activeCell="F17" sqref="F17"/>
    </sheetView>
  </sheetViews>
  <sheetFormatPr defaultRowHeight="14.4" x14ac:dyDescent="0.3"/>
  <cols>
    <col min="2" max="2" width="12.5546875" bestFit="1" customWidth="1"/>
    <col min="3" max="3" width="12" bestFit="1" customWidth="1"/>
    <col min="4" max="4" width="15.33203125" customWidth="1"/>
    <col min="5" max="5" width="12.5546875" bestFit="1" customWidth="1"/>
    <col min="6" max="6" width="16.44140625" bestFit="1" customWidth="1"/>
    <col min="10" max="10" width="10.109375" customWidth="1"/>
    <col min="13" max="13" width="12.44140625" customWidth="1"/>
    <col min="17" max="17" width="9.6640625" customWidth="1"/>
  </cols>
  <sheetData>
    <row r="1" spans="1:17" x14ac:dyDescent="0.3">
      <c r="A1" t="s">
        <v>83</v>
      </c>
    </row>
    <row r="2" spans="1:17" ht="25.8" x14ac:dyDescent="0.5">
      <c r="C2" s="31" t="s">
        <v>84</v>
      </c>
      <c r="D2" s="31"/>
    </row>
    <row r="4" spans="1:17" x14ac:dyDescent="0.3">
      <c r="B4" s="32" t="s">
        <v>86</v>
      </c>
      <c r="C4" s="32"/>
      <c r="E4" s="32" t="s">
        <v>87</v>
      </c>
      <c r="F4" s="32"/>
      <c r="H4" s="37" t="s">
        <v>85</v>
      </c>
      <c r="I4" s="37"/>
      <c r="J4" s="37"/>
      <c r="L4" s="38" t="s">
        <v>88</v>
      </c>
      <c r="M4" s="38"/>
      <c r="O4" s="32" t="s">
        <v>89</v>
      </c>
      <c r="P4" s="32"/>
      <c r="Q4" s="32"/>
    </row>
    <row r="5" spans="1:17" x14ac:dyDescent="0.3">
      <c r="B5" s="33">
        <f>SUM(Fleet_Data!D2:D811)</f>
        <v>213815.70000000019</v>
      </c>
      <c r="C5" s="33"/>
      <c r="E5" s="33">
        <f>SUM(Fleet_Data!E2:E256)</f>
        <v>16972.300000000003</v>
      </c>
      <c r="F5" s="33"/>
      <c r="H5" s="33">
        <f>SUM(Fleet_Data!D2:D811) / SUM(Fleet_Data!E2:E256)</f>
        <v>12.59792131885485</v>
      </c>
      <c r="I5" s="33"/>
      <c r="J5" s="33"/>
      <c r="L5" s="33">
        <f>AVERAGE(Fleet_Data!G2:G301)</f>
        <v>2.3116666666666652</v>
      </c>
      <c r="M5" s="33"/>
      <c r="O5" s="34">
        <f>AVERAGE(Fleet_Data!J2:J488)/100</f>
        <v>0.92435934291581001</v>
      </c>
      <c r="P5" s="34"/>
      <c r="Q5" s="34"/>
    </row>
    <row r="6" spans="1:17" x14ac:dyDescent="0.3">
      <c r="B6" s="33"/>
      <c r="C6" s="33"/>
      <c r="E6" s="33"/>
      <c r="F6" s="33"/>
      <c r="H6" s="33"/>
      <c r="I6" s="33"/>
      <c r="J6" s="33"/>
      <c r="L6" s="33"/>
      <c r="M6" s="33"/>
      <c r="O6" s="34"/>
      <c r="P6" s="34"/>
      <c r="Q6" s="34"/>
    </row>
    <row r="9" spans="1:17" x14ac:dyDescent="0.3">
      <c r="B9" s="35" t="s">
        <v>90</v>
      </c>
      <c r="C9" s="35"/>
      <c r="E9" s="36" t="s">
        <v>91</v>
      </c>
      <c r="F9" s="36"/>
    </row>
    <row r="10" spans="1:17" x14ac:dyDescent="0.3">
      <c r="B10" s="35"/>
      <c r="C10" s="35"/>
      <c r="E10" s="36"/>
      <c r="F10" s="36"/>
    </row>
    <row r="11" spans="1:17" ht="28.8" x14ac:dyDescent="0.3">
      <c r="B11" s="3" t="s">
        <v>64</v>
      </c>
      <c r="C11" s="10" t="s">
        <v>66</v>
      </c>
      <c r="E11" s="3" t="s">
        <v>64</v>
      </c>
      <c r="F11" s="10" t="s">
        <v>67</v>
      </c>
    </row>
    <row r="12" spans="1:17" x14ac:dyDescent="0.3">
      <c r="B12" s="4" t="s">
        <v>11</v>
      </c>
      <c r="C12" s="9">
        <v>13622.599999999999</v>
      </c>
      <c r="E12" s="4" t="s">
        <v>11</v>
      </c>
      <c r="F12" s="9">
        <v>3296.6999999999985</v>
      </c>
    </row>
    <row r="13" spans="1:17" x14ac:dyDescent="0.3">
      <c r="B13" s="4" t="s">
        <v>25</v>
      </c>
      <c r="C13" s="9">
        <v>12650.299999999997</v>
      </c>
      <c r="E13" s="4" t="s">
        <v>25</v>
      </c>
      <c r="F13" s="9">
        <v>3237.2000000000007</v>
      </c>
    </row>
    <row r="14" spans="1:17" x14ac:dyDescent="0.3">
      <c r="B14" s="4" t="s">
        <v>23</v>
      </c>
      <c r="C14" s="9">
        <v>14013.800000000003</v>
      </c>
      <c r="E14" s="4" t="s">
        <v>23</v>
      </c>
      <c r="F14" s="9">
        <v>3334.099999999999</v>
      </c>
    </row>
    <row r="15" spans="1:17" x14ac:dyDescent="0.3">
      <c r="B15" s="4" t="s">
        <v>13</v>
      </c>
      <c r="C15" s="9">
        <v>15234.3</v>
      </c>
      <c r="E15" s="4" t="s">
        <v>13</v>
      </c>
      <c r="F15" s="9">
        <v>3687.6000000000004</v>
      </c>
    </row>
    <row r="16" spans="1:17" x14ac:dyDescent="0.3">
      <c r="B16" s="4" t="s">
        <v>45</v>
      </c>
      <c r="C16" s="9">
        <v>12803.499999999998</v>
      </c>
      <c r="E16" s="4" t="s">
        <v>45</v>
      </c>
      <c r="F16" s="9">
        <v>3258.5999999999995</v>
      </c>
    </row>
    <row r="17" spans="2:6" x14ac:dyDescent="0.3">
      <c r="B17" s="4" t="s">
        <v>65</v>
      </c>
      <c r="C17" s="9">
        <v>68324.5</v>
      </c>
      <c r="E17" s="4" t="s">
        <v>65</v>
      </c>
      <c r="F17" s="9">
        <v>16814.199999999997</v>
      </c>
    </row>
  </sheetData>
  <mergeCells count="13">
    <mergeCell ref="O4:Q4"/>
    <mergeCell ref="O5:Q6"/>
    <mergeCell ref="B9:C10"/>
    <mergeCell ref="E9:F10"/>
    <mergeCell ref="H4:J4"/>
    <mergeCell ref="H5:J6"/>
    <mergeCell ref="L4:M4"/>
    <mergeCell ref="L5:M6"/>
    <mergeCell ref="C2:D2"/>
    <mergeCell ref="B4:C4"/>
    <mergeCell ref="E4:F4"/>
    <mergeCell ref="E5:F6"/>
    <mergeCell ref="B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891F-FB6E-446B-8CB6-EAF7E793F8C5}">
  <dimension ref="A1:AG22"/>
  <sheetViews>
    <sheetView topLeftCell="H11" workbookViewId="0">
      <selection activeCell="M18" sqref="M18"/>
    </sheetView>
  </sheetViews>
  <sheetFormatPr defaultRowHeight="14.4" x14ac:dyDescent="0.3"/>
  <cols>
    <col min="10" max="10" width="21.88671875" customWidth="1"/>
    <col min="12" max="12" width="29.77734375" bestFit="1" customWidth="1"/>
    <col min="13" max="13" width="15.5546875" bestFit="1" customWidth="1"/>
    <col min="14" max="15" width="12" bestFit="1" customWidth="1"/>
    <col min="16" max="16" width="11" bestFit="1" customWidth="1"/>
    <col min="17" max="17" width="7.109375" bestFit="1" customWidth="1"/>
    <col min="18" max="18" width="8" bestFit="1" customWidth="1"/>
    <col min="19" max="19" width="12" bestFit="1" customWidth="1"/>
    <col min="20" max="20" width="7.109375" bestFit="1" customWidth="1"/>
    <col min="21" max="21" width="11" bestFit="1" customWidth="1"/>
    <col min="22" max="30" width="12" bestFit="1" customWidth="1"/>
    <col min="31" max="31" width="9" bestFit="1" customWidth="1"/>
    <col min="32" max="32" width="7" bestFit="1" customWidth="1"/>
    <col min="33" max="33" width="11" bestFit="1" customWidth="1"/>
    <col min="34" max="34" width="7.109375" bestFit="1" customWidth="1"/>
    <col min="35" max="35" width="7" bestFit="1" customWidth="1"/>
    <col min="36" max="36" width="10.77734375" bestFit="1" customWidth="1"/>
  </cols>
  <sheetData>
    <row r="1" spans="1:18" x14ac:dyDescent="0.3">
      <c r="L1" s="11" t="s">
        <v>110</v>
      </c>
      <c r="M1" s="11" t="s">
        <v>3</v>
      </c>
      <c r="N1" s="11" t="s">
        <v>4</v>
      </c>
      <c r="O1" s="11" t="s">
        <v>108</v>
      </c>
    </row>
    <row r="2" spans="1:18" x14ac:dyDescent="0.3">
      <c r="L2" s="15" t="s">
        <v>47</v>
      </c>
      <c r="M2" s="15">
        <v>9519.5</v>
      </c>
      <c r="N2" s="15">
        <v>2498.0000000000005</v>
      </c>
      <c r="O2" s="16">
        <f>M2/N2</f>
        <v>3.8108486789431537</v>
      </c>
    </row>
    <row r="3" spans="1:18" x14ac:dyDescent="0.3">
      <c r="L3" s="15" t="s">
        <v>27</v>
      </c>
      <c r="M3" s="15">
        <v>10172.900000000001</v>
      </c>
      <c r="N3" s="15">
        <v>2661.5999999999995</v>
      </c>
      <c r="O3" s="16">
        <f t="shared" ref="O3:O5" si="0">M3/N3</f>
        <v>3.8220994890291569</v>
      </c>
    </row>
    <row r="4" spans="1:18" x14ac:dyDescent="0.3">
      <c r="A4" s="11">
        <v>1</v>
      </c>
      <c r="B4" s="43" t="s">
        <v>92</v>
      </c>
      <c r="C4" s="44"/>
      <c r="D4" s="44"/>
      <c r="E4" s="44"/>
      <c r="F4" s="44"/>
      <c r="G4" s="44"/>
      <c r="H4" s="44"/>
      <c r="I4" s="44"/>
      <c r="J4" s="45"/>
      <c r="L4" s="15" t="s">
        <v>25</v>
      </c>
      <c r="M4" s="15">
        <v>12650.299999999997</v>
      </c>
      <c r="N4" s="15">
        <v>3237.2000000000007</v>
      </c>
      <c r="O4" s="16">
        <f t="shared" si="0"/>
        <v>3.9077906833065597</v>
      </c>
    </row>
    <row r="5" spans="1:18" ht="38.4" customHeight="1" x14ac:dyDescent="0.3">
      <c r="A5" s="12" t="s">
        <v>93</v>
      </c>
      <c r="B5" s="39" t="s">
        <v>111</v>
      </c>
      <c r="C5" s="39"/>
      <c r="D5" s="39"/>
      <c r="E5" s="39"/>
      <c r="F5" s="39"/>
      <c r="G5" s="39"/>
      <c r="H5" s="39"/>
      <c r="I5" s="39"/>
      <c r="J5" s="39"/>
      <c r="L5" s="15" t="s">
        <v>17</v>
      </c>
      <c r="M5" s="15">
        <v>9554.7000000000007</v>
      </c>
      <c r="N5" s="15">
        <v>2437.3999999999996</v>
      </c>
      <c r="O5" s="16">
        <f t="shared" si="0"/>
        <v>3.9200377451382629</v>
      </c>
    </row>
    <row r="6" spans="1:18" x14ac:dyDescent="0.3">
      <c r="L6" s="4"/>
      <c r="M6" s="4"/>
      <c r="N6" s="4"/>
    </row>
    <row r="7" spans="1:18" x14ac:dyDescent="0.3">
      <c r="A7" s="11">
        <v>2</v>
      </c>
      <c r="B7" s="40" t="s">
        <v>94</v>
      </c>
      <c r="C7" s="40"/>
      <c r="D7" s="40"/>
      <c r="E7" s="40"/>
      <c r="F7" s="40"/>
      <c r="G7" s="40"/>
      <c r="H7" s="40"/>
      <c r="I7" s="40"/>
      <c r="J7" s="40"/>
      <c r="M7" s="3" t="s">
        <v>114</v>
      </c>
    </row>
    <row r="8" spans="1:18" ht="42.6" customHeight="1" x14ac:dyDescent="0.3">
      <c r="A8" s="12" t="s">
        <v>93</v>
      </c>
      <c r="B8" s="41" t="s">
        <v>113</v>
      </c>
      <c r="C8" s="42"/>
      <c r="D8" s="42"/>
      <c r="E8" s="42"/>
      <c r="F8" s="42"/>
      <c r="G8" s="42"/>
      <c r="H8" s="42"/>
      <c r="I8" s="42"/>
      <c r="J8" s="42"/>
      <c r="M8" t="s">
        <v>14</v>
      </c>
      <c r="N8" t="s">
        <v>18</v>
      </c>
      <c r="O8" t="s">
        <v>24</v>
      </c>
      <c r="P8" t="s">
        <v>30</v>
      </c>
      <c r="Q8" t="s">
        <v>28</v>
      </c>
      <c r="R8" t="s">
        <v>65</v>
      </c>
    </row>
    <row r="9" spans="1:18" x14ac:dyDescent="0.3">
      <c r="L9" t="s">
        <v>112</v>
      </c>
      <c r="M9">
        <v>2.6553571428571416</v>
      </c>
      <c r="N9">
        <v>2.5256410256410264</v>
      </c>
      <c r="O9">
        <v>2.5</v>
      </c>
      <c r="P9">
        <v>2.5139534883720933</v>
      </c>
      <c r="Q9">
        <v>2.535135135135135</v>
      </c>
      <c r="R9">
        <v>2.5511013215859029</v>
      </c>
    </row>
    <row r="11" spans="1:18" x14ac:dyDescent="0.3">
      <c r="A11" s="11">
        <v>3</v>
      </c>
      <c r="B11" s="40" t="s">
        <v>97</v>
      </c>
      <c r="C11" s="40"/>
      <c r="D11" s="40"/>
      <c r="E11" s="40"/>
      <c r="F11" s="40"/>
      <c r="G11" s="40"/>
      <c r="H11" s="40"/>
      <c r="I11" s="40"/>
      <c r="J11" s="40"/>
    </row>
    <row r="12" spans="1:18" x14ac:dyDescent="0.3">
      <c r="A12" s="13" t="s">
        <v>93</v>
      </c>
      <c r="B12" s="23" t="s">
        <v>95</v>
      </c>
      <c r="C12" s="46"/>
      <c r="D12" s="46"/>
      <c r="E12" s="46"/>
      <c r="F12" s="46"/>
      <c r="G12" s="46"/>
      <c r="H12" s="46"/>
      <c r="I12" s="46"/>
      <c r="J12" s="24"/>
    </row>
    <row r="13" spans="1:18" ht="30" customHeight="1" x14ac:dyDescent="0.3">
      <c r="A13" s="14" t="s">
        <v>96</v>
      </c>
      <c r="B13" s="47" t="s">
        <v>104</v>
      </c>
      <c r="C13" s="48"/>
      <c r="D13" s="48"/>
      <c r="E13" s="48"/>
      <c r="F13" s="48"/>
      <c r="G13" s="48"/>
      <c r="H13" s="48"/>
      <c r="I13" s="48"/>
      <c r="J13" s="49"/>
    </row>
    <row r="14" spans="1:18" x14ac:dyDescent="0.3">
      <c r="A14" s="14" t="s">
        <v>96</v>
      </c>
      <c r="B14" s="5" t="s">
        <v>105</v>
      </c>
      <c r="C14" s="5"/>
      <c r="D14" s="5"/>
      <c r="E14" s="5"/>
      <c r="F14" s="5"/>
      <c r="G14" s="5"/>
      <c r="H14" s="5"/>
      <c r="I14" s="5"/>
      <c r="J14" s="5"/>
    </row>
    <row r="16" spans="1:18" x14ac:dyDescent="0.3">
      <c r="A16" s="11">
        <v>4</v>
      </c>
      <c r="B16" s="40" t="s">
        <v>98</v>
      </c>
      <c r="C16" s="40"/>
      <c r="D16" s="40"/>
      <c r="E16" s="40"/>
      <c r="F16" s="40"/>
      <c r="G16" s="40"/>
      <c r="H16" s="40"/>
      <c r="I16" s="40"/>
      <c r="J16" s="40"/>
      <c r="M16" s="3" t="s">
        <v>114</v>
      </c>
    </row>
    <row r="17" spans="1:33" ht="43.8" customHeight="1" x14ac:dyDescent="0.3">
      <c r="A17" s="12" t="s">
        <v>93</v>
      </c>
      <c r="B17" s="42" t="s">
        <v>116</v>
      </c>
      <c r="C17" s="42"/>
      <c r="D17" s="42"/>
      <c r="E17" s="42"/>
      <c r="F17" s="42"/>
      <c r="G17" s="42"/>
      <c r="H17" s="42"/>
      <c r="I17" s="42"/>
      <c r="J17" s="42"/>
      <c r="M17" t="s">
        <v>27</v>
      </c>
      <c r="N17" t="s">
        <v>21</v>
      </c>
      <c r="O17" t="s">
        <v>11</v>
      </c>
      <c r="P17" t="s">
        <v>9</v>
      </c>
      <c r="Q17" t="s">
        <v>37</v>
      </c>
      <c r="R17" t="s">
        <v>33</v>
      </c>
      <c r="S17" t="s">
        <v>19</v>
      </c>
      <c r="T17" t="s">
        <v>47</v>
      </c>
      <c r="U17" t="s">
        <v>29</v>
      </c>
      <c r="V17" t="s">
        <v>23</v>
      </c>
      <c r="W17" t="s">
        <v>17</v>
      </c>
      <c r="X17" t="s">
        <v>39</v>
      </c>
      <c r="Y17" t="s">
        <v>15</v>
      </c>
      <c r="Z17" t="s">
        <v>35</v>
      </c>
      <c r="AA17" t="s">
        <v>43</v>
      </c>
      <c r="AB17" t="s">
        <v>31</v>
      </c>
      <c r="AC17" t="s">
        <v>13</v>
      </c>
      <c r="AD17" t="s">
        <v>41</v>
      </c>
      <c r="AE17" t="s">
        <v>45</v>
      </c>
      <c r="AF17" t="s">
        <v>109</v>
      </c>
      <c r="AG17" t="s">
        <v>65</v>
      </c>
    </row>
    <row r="18" spans="1:33" x14ac:dyDescent="0.3">
      <c r="L18" t="s">
        <v>115</v>
      </c>
      <c r="M18">
        <v>91.186486486486473</v>
      </c>
      <c r="N18">
        <v>92.437142857142874</v>
      </c>
      <c r="O18">
        <v>92.108333333333334</v>
      </c>
      <c r="P18">
        <v>91.519512195121919</v>
      </c>
      <c r="Q18">
        <v>92.500000000000028</v>
      </c>
      <c r="R18">
        <v>92.687500000000014</v>
      </c>
      <c r="S18">
        <v>92.564285714285703</v>
      </c>
      <c r="T18">
        <v>93.15</v>
      </c>
      <c r="U18">
        <v>93.282608695652129</v>
      </c>
      <c r="V18">
        <v>93.328846153846143</v>
      </c>
      <c r="W18">
        <v>89.984210526315778</v>
      </c>
      <c r="X18">
        <v>92.897142857142867</v>
      </c>
      <c r="Y18">
        <v>92.579411764705867</v>
      </c>
      <c r="Z18">
        <v>93.039393939393946</v>
      </c>
      <c r="AA18">
        <v>92.878048780487788</v>
      </c>
      <c r="AB18">
        <v>92.182857142857145</v>
      </c>
      <c r="AC18">
        <v>92.487272727272696</v>
      </c>
      <c r="AD18">
        <v>91.871428571428552</v>
      </c>
      <c r="AE18">
        <v>93.38124999999998</v>
      </c>
      <c r="AG18">
        <v>92.452645502645481</v>
      </c>
    </row>
    <row r="19" spans="1:33" x14ac:dyDescent="0.3">
      <c r="A19" s="11">
        <v>5</v>
      </c>
      <c r="B19" s="40" t="s">
        <v>99</v>
      </c>
      <c r="C19" s="40"/>
      <c r="D19" s="40"/>
      <c r="E19" s="40"/>
      <c r="F19" s="40"/>
      <c r="G19" s="40"/>
      <c r="H19" s="40"/>
      <c r="I19" s="40"/>
      <c r="J19" s="40"/>
    </row>
    <row r="20" spans="1:33" ht="28.2" customHeight="1" x14ac:dyDescent="0.3">
      <c r="A20" s="13" t="s">
        <v>100</v>
      </c>
      <c r="B20" s="39" t="s">
        <v>106</v>
      </c>
      <c r="C20" s="39"/>
      <c r="D20" s="39"/>
      <c r="E20" s="39"/>
      <c r="F20" s="39"/>
      <c r="G20" s="39"/>
      <c r="H20" s="39"/>
      <c r="I20" s="39"/>
      <c r="J20" s="39"/>
    </row>
    <row r="21" spans="1:33" ht="42.6" customHeight="1" x14ac:dyDescent="0.3">
      <c r="A21" s="13" t="s">
        <v>101</v>
      </c>
      <c r="B21" s="39" t="s">
        <v>107</v>
      </c>
      <c r="C21" s="39"/>
      <c r="D21" s="39"/>
      <c r="E21" s="39"/>
      <c r="F21" s="39"/>
      <c r="G21" s="39"/>
      <c r="H21" s="39"/>
      <c r="I21" s="39"/>
      <c r="J21" s="39"/>
    </row>
    <row r="22" spans="1:33" ht="44.4" customHeight="1" x14ac:dyDescent="0.3">
      <c r="A22" s="13" t="s">
        <v>102</v>
      </c>
      <c r="B22" s="39" t="s">
        <v>103</v>
      </c>
      <c r="C22" s="39"/>
      <c r="D22" s="39"/>
      <c r="E22" s="39"/>
      <c r="F22" s="39"/>
      <c r="G22" s="39"/>
      <c r="H22" s="39"/>
      <c r="I22" s="39"/>
      <c r="J22" s="39"/>
    </row>
  </sheetData>
  <mergeCells count="13">
    <mergeCell ref="B4:J4"/>
    <mergeCell ref="B7:J7"/>
    <mergeCell ref="B11:J11"/>
    <mergeCell ref="B12:J12"/>
    <mergeCell ref="B13:J13"/>
    <mergeCell ref="B21:J21"/>
    <mergeCell ref="B22:J22"/>
    <mergeCell ref="B19:J19"/>
    <mergeCell ref="B16:J16"/>
    <mergeCell ref="B5:J5"/>
    <mergeCell ref="B8:J8"/>
    <mergeCell ref="B17:J17"/>
    <mergeCell ref="B20:J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1"/>
  <sheetViews>
    <sheetView tabSelected="1" topLeftCell="F1" workbookViewId="0">
      <selection activeCell="M7" sqref="M7"/>
    </sheetView>
  </sheetViews>
  <sheetFormatPr defaultRowHeight="14.4" x14ac:dyDescent="0.3"/>
  <cols>
    <col min="1" max="1" width="9.88671875" bestFit="1" customWidth="1"/>
    <col min="2" max="2" width="12" bestFit="1" customWidth="1"/>
    <col min="3" max="3" width="18.109375" bestFit="1" customWidth="1"/>
    <col min="4" max="4" width="12" bestFit="1" customWidth="1"/>
    <col min="5" max="5" width="16.44140625" bestFit="1" customWidth="1"/>
    <col min="6" max="6" width="16.44140625" customWidth="1"/>
    <col min="7" max="7" width="12.88671875" bestFit="1" customWidth="1"/>
    <col min="8" max="8" width="5" bestFit="1" customWidth="1"/>
    <col min="9" max="9" width="19.44140625" bestFit="1" customWidth="1"/>
    <col min="10" max="10" width="25.21875" bestFit="1" customWidth="1"/>
    <col min="11" max="11" width="16" bestFit="1" customWidth="1"/>
    <col min="12" max="12" width="24.77734375" bestFit="1" customWidth="1"/>
    <col min="13" max="13" width="25.109375" bestFit="1" customWidth="1"/>
    <col min="14" max="14" width="23.109375" bestFit="1" customWidth="1"/>
    <col min="15" max="15" width="19.5546875" bestFit="1" customWidth="1"/>
    <col min="16" max="16" width="11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108</v>
      </c>
      <c r="G1" s="1" t="s">
        <v>5</v>
      </c>
      <c r="H1" s="1" t="s">
        <v>6</v>
      </c>
      <c r="I1" s="1" t="s">
        <v>7</v>
      </c>
      <c r="J1" s="1" t="s">
        <v>8</v>
      </c>
      <c r="K1" s="6" t="s">
        <v>70</v>
      </c>
      <c r="L1" s="6" t="s">
        <v>71</v>
      </c>
      <c r="M1" s="6" t="s">
        <v>72</v>
      </c>
    </row>
    <row r="2" spans="1:15" x14ac:dyDescent="0.3">
      <c r="A2" t="s">
        <v>27</v>
      </c>
      <c r="B2" t="s">
        <v>28</v>
      </c>
      <c r="C2" s="2">
        <v>46110</v>
      </c>
      <c r="D2">
        <v>346.7</v>
      </c>
      <c r="E2">
        <v>74.7</v>
      </c>
      <c r="F2" s="8">
        <f>IFERROR(D2/E2,0)</f>
        <v>4.6412315930388219</v>
      </c>
      <c r="G2">
        <v>2.5</v>
      </c>
      <c r="H2">
        <v>5</v>
      </c>
      <c r="I2">
        <v>64.599999999999994</v>
      </c>
      <c r="J2">
        <v>90.1</v>
      </c>
      <c r="K2" t="str">
        <f>IF(COUNTIFS($A$2:A2, A2, $C$2:C2, C2)&gt;1, "Duplicate", "Unique")</f>
        <v>Unique</v>
      </c>
      <c r="L2" t="str">
        <f>IF(G2 &gt; (AVERAGE($G$2:$G$811) + (3 * _xlfn.STDEV.P($G$2:$G$811))), "Extreme Idle Outlier", "Normal")</f>
        <v>Normal</v>
      </c>
      <c r="M2" t="str">
        <f>IFERROR(IF((D2 / E2) &lt; 3, "Suspiciously Low Efficiency", "Normal"),0)</f>
        <v>Normal</v>
      </c>
      <c r="N2" s="55"/>
      <c r="O2" s="51"/>
    </row>
    <row r="3" spans="1:15" x14ac:dyDescent="0.3">
      <c r="A3" t="s">
        <v>27</v>
      </c>
      <c r="B3" t="s">
        <v>28</v>
      </c>
      <c r="C3" s="2">
        <v>46036</v>
      </c>
      <c r="D3">
        <v>368</v>
      </c>
      <c r="E3">
        <v>108.5</v>
      </c>
      <c r="F3" s="8">
        <f t="shared" ref="F3:F66" si="0">IFERROR(D3/E3,0)</f>
        <v>3.3917050691244239</v>
      </c>
      <c r="G3">
        <v>3.7</v>
      </c>
      <c r="H3">
        <v>8</v>
      </c>
      <c r="I3">
        <v>32.299999999999997</v>
      </c>
      <c r="J3">
        <v>88.7</v>
      </c>
      <c r="K3" t="str">
        <f>IF(COUNTIFS($A$2:A3, A3, $C$2:C3, C3)&gt;1, "Duplicate", "Unique")</f>
        <v>Unique</v>
      </c>
      <c r="L3" t="str">
        <f t="shared" ref="L3:L66" si="1">IF(G3 &gt; (AVERAGE($G$2:$G$811) + (3 * _xlfn.STDEV.P($G$2:$G$811))), "Extreme Idle Outlier", "Normal")</f>
        <v>Normal</v>
      </c>
      <c r="M3" t="str">
        <f t="shared" ref="M3:M66" si="2">IFERROR(IF((D3 / E3) &lt; 3, "Suspiciously Low Efficiency", "Normal"),0)</f>
        <v>Normal</v>
      </c>
      <c r="N3" s="55"/>
    </row>
    <row r="4" spans="1:15" x14ac:dyDescent="0.3">
      <c r="A4" t="s">
        <v>27</v>
      </c>
      <c r="B4" t="s">
        <v>28</v>
      </c>
      <c r="C4" s="2">
        <v>46091</v>
      </c>
      <c r="D4">
        <v>126.8</v>
      </c>
      <c r="E4">
        <v>43.4</v>
      </c>
      <c r="F4" s="8">
        <f t="shared" si="0"/>
        <v>2.9216589861751152</v>
      </c>
      <c r="G4">
        <v>0.4</v>
      </c>
      <c r="H4">
        <v>5</v>
      </c>
      <c r="I4">
        <v>61.4</v>
      </c>
      <c r="J4">
        <v>86.9</v>
      </c>
      <c r="K4" t="str">
        <f>IF(COUNTIFS($A$2:A4, A4, $C$2:C4, C4)&gt;1, "Duplicate", "Unique")</f>
        <v>Unique</v>
      </c>
      <c r="L4" t="str">
        <f t="shared" si="1"/>
        <v>Normal</v>
      </c>
      <c r="M4" t="str">
        <f t="shared" si="2"/>
        <v>Suspiciously Low Efficiency</v>
      </c>
      <c r="N4" s="55"/>
    </row>
    <row r="5" spans="1:15" x14ac:dyDescent="0.3">
      <c r="A5" t="s">
        <v>27</v>
      </c>
      <c r="B5" t="s">
        <v>28</v>
      </c>
      <c r="C5" s="2">
        <v>46093</v>
      </c>
      <c r="D5">
        <v>231</v>
      </c>
      <c r="E5">
        <v>67.8</v>
      </c>
      <c r="F5" s="8">
        <f t="shared" si="0"/>
        <v>3.4070796460176993</v>
      </c>
      <c r="G5">
        <v>3.8</v>
      </c>
      <c r="H5">
        <v>2</v>
      </c>
      <c r="I5">
        <v>50.8</v>
      </c>
      <c r="J5">
        <v>86.8</v>
      </c>
      <c r="K5" t="str">
        <f>IF(COUNTIFS($A$2:A5, A5, $C$2:C5, C5)&gt;1, "Duplicate", "Unique")</f>
        <v>Unique</v>
      </c>
      <c r="L5" t="str">
        <f t="shared" si="1"/>
        <v>Normal</v>
      </c>
      <c r="M5" t="str">
        <f t="shared" si="2"/>
        <v>Normal</v>
      </c>
      <c r="N5" s="55"/>
    </row>
    <row r="6" spans="1:15" x14ac:dyDescent="0.3">
      <c r="A6" t="s">
        <v>27</v>
      </c>
      <c r="B6" t="s">
        <v>28</v>
      </c>
      <c r="C6" s="2">
        <v>46068</v>
      </c>
      <c r="D6">
        <v>372.3</v>
      </c>
      <c r="E6">
        <v>108.2</v>
      </c>
      <c r="F6" s="8">
        <f t="shared" si="0"/>
        <v>3.4408502772643255</v>
      </c>
      <c r="G6">
        <v>1.6</v>
      </c>
      <c r="H6">
        <v>3</v>
      </c>
      <c r="I6">
        <v>41.9</v>
      </c>
      <c r="J6">
        <v>86.9</v>
      </c>
      <c r="K6" t="str">
        <f>IF(COUNTIFS($A$2:A6, A6, $C$2:C6, C6)&gt;1, "Duplicate", "Unique")</f>
        <v>Unique</v>
      </c>
      <c r="L6" t="str">
        <f t="shared" si="1"/>
        <v>Normal</v>
      </c>
      <c r="M6" t="str">
        <f t="shared" si="2"/>
        <v>Normal</v>
      </c>
      <c r="N6" s="55"/>
    </row>
    <row r="7" spans="1:15" x14ac:dyDescent="0.3">
      <c r="A7" t="s">
        <v>27</v>
      </c>
      <c r="B7" t="s">
        <v>28</v>
      </c>
      <c r="C7" s="2">
        <v>46034</v>
      </c>
      <c r="D7">
        <v>356.1</v>
      </c>
      <c r="E7">
        <v>105.3</v>
      </c>
      <c r="F7" s="8">
        <f t="shared" si="0"/>
        <v>3.3817663817663819</v>
      </c>
      <c r="G7">
        <v>2</v>
      </c>
      <c r="H7">
        <v>6</v>
      </c>
      <c r="I7">
        <v>37.1</v>
      </c>
      <c r="J7">
        <v>89.7</v>
      </c>
      <c r="K7" t="str">
        <f>IF(COUNTIFS($A$2:A7, A7, $C$2:C7, C7)&gt;1, "Duplicate", "Unique")</f>
        <v>Unique</v>
      </c>
      <c r="L7" t="str">
        <f t="shared" si="1"/>
        <v>Normal</v>
      </c>
      <c r="M7" t="str">
        <f t="shared" si="2"/>
        <v>Normal</v>
      </c>
      <c r="N7" s="55"/>
    </row>
    <row r="8" spans="1:15" x14ac:dyDescent="0.3">
      <c r="A8" t="s">
        <v>27</v>
      </c>
      <c r="B8" t="s">
        <v>28</v>
      </c>
      <c r="C8" s="2">
        <v>46076</v>
      </c>
      <c r="D8">
        <v>99.7</v>
      </c>
      <c r="E8">
        <v>24</v>
      </c>
      <c r="F8" s="8">
        <f t="shared" si="0"/>
        <v>4.1541666666666668</v>
      </c>
      <c r="G8">
        <v>1.2</v>
      </c>
      <c r="H8">
        <v>2</v>
      </c>
      <c r="I8">
        <v>46.9</v>
      </c>
      <c r="J8">
        <v>85.4</v>
      </c>
      <c r="K8" t="str">
        <f>IF(COUNTIFS($A$2:A8, A8, $C$2:C8, C8)&gt;1, "Duplicate", "Unique")</f>
        <v>Unique</v>
      </c>
      <c r="L8" t="str">
        <f t="shared" si="1"/>
        <v>Normal</v>
      </c>
      <c r="M8" t="str">
        <f t="shared" si="2"/>
        <v>Normal</v>
      </c>
      <c r="N8" s="55"/>
    </row>
    <row r="9" spans="1:15" x14ac:dyDescent="0.3">
      <c r="A9" t="s">
        <v>27</v>
      </c>
      <c r="B9" t="s">
        <v>28</v>
      </c>
      <c r="C9" s="2">
        <v>46070</v>
      </c>
      <c r="D9">
        <v>202.6</v>
      </c>
      <c r="E9">
        <v>65.400000000000006</v>
      </c>
      <c r="F9" s="8">
        <f t="shared" si="0"/>
        <v>3.0978593272171251</v>
      </c>
      <c r="G9">
        <v>2</v>
      </c>
      <c r="H9">
        <v>5</v>
      </c>
      <c r="I9">
        <v>65.900000000000006</v>
      </c>
      <c r="J9">
        <v>95.9</v>
      </c>
      <c r="K9" t="str">
        <f>IF(COUNTIFS($A$2:A9, A9, $C$2:C9, C9)&gt;1, "Duplicate", "Unique")</f>
        <v>Unique</v>
      </c>
      <c r="L9" t="str">
        <f t="shared" si="1"/>
        <v>Normal</v>
      </c>
      <c r="M9" t="str">
        <f t="shared" si="2"/>
        <v>Normal</v>
      </c>
      <c r="N9" s="55"/>
    </row>
    <row r="10" spans="1:15" x14ac:dyDescent="0.3">
      <c r="A10" t="s">
        <v>27</v>
      </c>
      <c r="B10" t="s">
        <v>28</v>
      </c>
      <c r="C10" s="2">
        <v>46099</v>
      </c>
      <c r="D10">
        <v>255.6</v>
      </c>
      <c r="E10">
        <v>47.2</v>
      </c>
      <c r="F10" s="8">
        <f t="shared" si="0"/>
        <v>5.4152542372881349</v>
      </c>
      <c r="G10">
        <v>3.6</v>
      </c>
      <c r="H10">
        <v>4</v>
      </c>
      <c r="I10">
        <v>62.5</v>
      </c>
      <c r="J10">
        <v>93.8</v>
      </c>
      <c r="K10" t="str">
        <f>IF(COUNTIFS($A$2:A10, A10, $C$2:C10, C10)&gt;1, "Duplicate", "Unique")</f>
        <v>Unique</v>
      </c>
      <c r="L10" t="str">
        <f t="shared" si="1"/>
        <v>Normal</v>
      </c>
      <c r="M10" t="str">
        <f t="shared" si="2"/>
        <v>Normal</v>
      </c>
      <c r="N10" s="55"/>
    </row>
    <row r="11" spans="1:15" x14ac:dyDescent="0.3">
      <c r="A11" t="s">
        <v>27</v>
      </c>
      <c r="B11" t="s">
        <v>28</v>
      </c>
      <c r="C11" s="2">
        <v>46093</v>
      </c>
      <c r="D11">
        <v>441.8</v>
      </c>
      <c r="E11">
        <v>136.9</v>
      </c>
      <c r="F11" s="8">
        <f t="shared" si="0"/>
        <v>3.2271731190650108</v>
      </c>
      <c r="G11">
        <v>3</v>
      </c>
      <c r="H11">
        <v>8</v>
      </c>
      <c r="I11">
        <v>51.5</v>
      </c>
      <c r="J11">
        <v>88</v>
      </c>
      <c r="K11" t="str">
        <f>IF(COUNTIFS($A$2:A11, A11, $C$2:C11, C11)&gt;1, "Duplicate", "Unique")</f>
        <v>Duplicate</v>
      </c>
      <c r="L11" t="str">
        <f t="shared" si="1"/>
        <v>Normal</v>
      </c>
      <c r="M11" t="str">
        <f t="shared" si="2"/>
        <v>Normal</v>
      </c>
      <c r="N11" s="55"/>
    </row>
    <row r="12" spans="1:15" x14ac:dyDescent="0.3">
      <c r="A12" t="s">
        <v>27</v>
      </c>
      <c r="B12" t="s">
        <v>28</v>
      </c>
      <c r="C12" s="2">
        <v>46066</v>
      </c>
      <c r="D12">
        <v>372.6</v>
      </c>
      <c r="E12">
        <v>86</v>
      </c>
      <c r="F12" s="8">
        <f t="shared" si="0"/>
        <v>4.3325581395348838</v>
      </c>
      <c r="G12">
        <v>3.5</v>
      </c>
      <c r="H12">
        <v>3</v>
      </c>
      <c r="I12">
        <v>57.5</v>
      </c>
      <c r="J12">
        <v>94.6</v>
      </c>
      <c r="K12" t="str">
        <f>IF(COUNTIFS($A$2:A12, A12, $C$2:C12, C12)&gt;1, "Duplicate", "Unique")</f>
        <v>Unique</v>
      </c>
      <c r="L12" t="str">
        <f t="shared" si="1"/>
        <v>Normal</v>
      </c>
      <c r="M12" t="str">
        <f t="shared" si="2"/>
        <v>Normal</v>
      </c>
      <c r="N12" s="55"/>
    </row>
    <row r="13" spans="1:15" x14ac:dyDescent="0.3">
      <c r="A13" t="s">
        <v>27</v>
      </c>
      <c r="B13" t="s">
        <v>28</v>
      </c>
      <c r="C13" s="2">
        <v>46056</v>
      </c>
      <c r="D13">
        <v>321.89999999999998</v>
      </c>
      <c r="E13">
        <v>68.900000000000006</v>
      </c>
      <c r="F13" s="8">
        <f t="shared" si="0"/>
        <v>4.6719883889695204</v>
      </c>
      <c r="G13">
        <v>0.5</v>
      </c>
      <c r="H13">
        <v>2</v>
      </c>
      <c r="I13">
        <v>50.9</v>
      </c>
      <c r="J13">
        <v>87.4</v>
      </c>
      <c r="K13" t="str">
        <f>IF(COUNTIFS($A$2:A13, A13, $C$2:C13, C13)&gt;1, "Duplicate", "Unique")</f>
        <v>Unique</v>
      </c>
      <c r="L13" t="str">
        <f t="shared" si="1"/>
        <v>Normal</v>
      </c>
      <c r="M13" t="str">
        <f t="shared" si="2"/>
        <v>Normal</v>
      </c>
      <c r="N13" s="55"/>
    </row>
    <row r="14" spans="1:15" x14ac:dyDescent="0.3">
      <c r="A14" t="s">
        <v>27</v>
      </c>
      <c r="B14" t="s">
        <v>28</v>
      </c>
      <c r="C14" s="2">
        <v>46073</v>
      </c>
      <c r="D14">
        <v>174.1</v>
      </c>
      <c r="E14">
        <v>62</v>
      </c>
      <c r="F14" s="8">
        <f t="shared" si="0"/>
        <v>2.8080645161290323</v>
      </c>
      <c r="G14">
        <v>1.1000000000000001</v>
      </c>
      <c r="H14">
        <v>2</v>
      </c>
      <c r="I14">
        <v>32</v>
      </c>
      <c r="J14">
        <v>90.2</v>
      </c>
      <c r="K14" t="str">
        <f>IF(COUNTIFS($A$2:A14, A14, $C$2:C14, C14)&gt;1, "Duplicate", "Unique")</f>
        <v>Unique</v>
      </c>
      <c r="L14" t="str">
        <f t="shared" si="1"/>
        <v>Normal</v>
      </c>
      <c r="M14" t="str">
        <f t="shared" si="2"/>
        <v>Suspiciously Low Efficiency</v>
      </c>
      <c r="N14" s="55"/>
    </row>
    <row r="15" spans="1:15" x14ac:dyDescent="0.3">
      <c r="A15" t="s">
        <v>27</v>
      </c>
      <c r="B15" t="s">
        <v>28</v>
      </c>
      <c r="C15" s="2">
        <v>46053</v>
      </c>
      <c r="D15">
        <v>156.30000000000001</v>
      </c>
      <c r="E15">
        <v>50.9</v>
      </c>
      <c r="F15" s="8">
        <f t="shared" si="0"/>
        <v>3.0707269155206292</v>
      </c>
      <c r="G15">
        <v>0.3</v>
      </c>
      <c r="H15">
        <v>1</v>
      </c>
      <c r="I15">
        <v>41</v>
      </c>
      <c r="J15">
        <v>85.7</v>
      </c>
      <c r="K15" t="str">
        <f>IF(COUNTIFS($A$2:A15, A15, $C$2:C15, C15)&gt;1, "Duplicate", "Unique")</f>
        <v>Unique</v>
      </c>
      <c r="L15" t="str">
        <f t="shared" si="1"/>
        <v>Normal</v>
      </c>
      <c r="M15" t="str">
        <f t="shared" si="2"/>
        <v>Normal</v>
      </c>
      <c r="N15" s="55"/>
    </row>
    <row r="16" spans="1:15" x14ac:dyDescent="0.3">
      <c r="A16" t="s">
        <v>27</v>
      </c>
      <c r="B16" t="s">
        <v>28</v>
      </c>
      <c r="C16" s="2">
        <v>46073</v>
      </c>
      <c r="D16">
        <v>202.9</v>
      </c>
      <c r="E16">
        <v>45.3</v>
      </c>
      <c r="F16" s="8">
        <f t="shared" si="0"/>
        <v>4.4790286975717439</v>
      </c>
      <c r="G16">
        <v>3.7</v>
      </c>
      <c r="H16">
        <v>6</v>
      </c>
      <c r="I16">
        <v>49.8</v>
      </c>
      <c r="J16">
        <v>91.5</v>
      </c>
      <c r="K16" t="str">
        <f>IF(COUNTIFS($A$2:A16, A16, $C$2:C16, C16)&gt;1, "Duplicate", "Unique")</f>
        <v>Duplicate</v>
      </c>
      <c r="L16" t="str">
        <f t="shared" si="1"/>
        <v>Normal</v>
      </c>
      <c r="M16" t="str">
        <f t="shared" si="2"/>
        <v>Normal</v>
      </c>
      <c r="N16" s="55"/>
    </row>
    <row r="17" spans="1:14" x14ac:dyDescent="0.3">
      <c r="A17" t="s">
        <v>27</v>
      </c>
      <c r="B17" t="s">
        <v>28</v>
      </c>
      <c r="C17" s="2">
        <v>46050</v>
      </c>
      <c r="D17">
        <v>156.1</v>
      </c>
      <c r="E17">
        <v>32.299999999999997</v>
      </c>
      <c r="F17" s="8">
        <f t="shared" si="0"/>
        <v>4.8328173374613002</v>
      </c>
      <c r="G17">
        <v>3.7</v>
      </c>
      <c r="H17">
        <v>2</v>
      </c>
      <c r="I17">
        <v>56</v>
      </c>
      <c r="J17">
        <v>97</v>
      </c>
      <c r="K17" t="str">
        <f>IF(COUNTIFS($A$2:A17, A17, $C$2:C17, C17)&gt;1, "Duplicate", "Unique")</f>
        <v>Unique</v>
      </c>
      <c r="L17" t="str">
        <f t="shared" si="1"/>
        <v>Normal</v>
      </c>
      <c r="M17" t="str">
        <f t="shared" si="2"/>
        <v>Normal</v>
      </c>
      <c r="N17" s="55"/>
    </row>
    <row r="18" spans="1:14" x14ac:dyDescent="0.3">
      <c r="A18" t="s">
        <v>27</v>
      </c>
      <c r="B18" t="s">
        <v>28</v>
      </c>
      <c r="C18" s="2">
        <v>46085</v>
      </c>
      <c r="D18">
        <v>130.5</v>
      </c>
      <c r="E18">
        <v>26.1</v>
      </c>
      <c r="F18" s="8">
        <f t="shared" si="0"/>
        <v>5</v>
      </c>
      <c r="G18">
        <v>4.3</v>
      </c>
      <c r="H18">
        <v>8</v>
      </c>
      <c r="I18">
        <v>48.4</v>
      </c>
      <c r="J18">
        <v>92.4</v>
      </c>
      <c r="K18" t="str">
        <f>IF(COUNTIFS($A$2:A18, A18, $C$2:C18, C18)&gt;1, "Duplicate", "Unique")</f>
        <v>Unique</v>
      </c>
      <c r="L18" t="str">
        <f t="shared" si="1"/>
        <v>Normal</v>
      </c>
      <c r="M18" t="str">
        <f t="shared" si="2"/>
        <v>Normal</v>
      </c>
      <c r="N18" s="55"/>
    </row>
    <row r="19" spans="1:14" x14ac:dyDescent="0.3">
      <c r="A19" t="s">
        <v>27</v>
      </c>
      <c r="B19" t="s">
        <v>28</v>
      </c>
      <c r="C19" s="2">
        <v>46070</v>
      </c>
      <c r="D19">
        <v>154.19999999999999</v>
      </c>
      <c r="E19">
        <v>35.700000000000003</v>
      </c>
      <c r="F19" s="8">
        <f t="shared" si="0"/>
        <v>4.3193277310924367</v>
      </c>
      <c r="G19">
        <v>1.5</v>
      </c>
      <c r="H19">
        <v>4</v>
      </c>
      <c r="I19">
        <v>50.9</v>
      </c>
      <c r="J19">
        <v>93.9</v>
      </c>
      <c r="K19" t="str">
        <f>IF(COUNTIFS($A$2:A19, A19, $C$2:C19, C19)&gt;1, "Duplicate", "Unique")</f>
        <v>Duplicate</v>
      </c>
      <c r="L19" t="str">
        <f t="shared" si="1"/>
        <v>Normal</v>
      </c>
      <c r="M19" t="str">
        <f t="shared" si="2"/>
        <v>Normal</v>
      </c>
      <c r="N19" s="55"/>
    </row>
    <row r="20" spans="1:14" x14ac:dyDescent="0.3">
      <c r="A20" t="s">
        <v>27</v>
      </c>
      <c r="B20" t="s">
        <v>28</v>
      </c>
      <c r="C20" s="2">
        <v>46109</v>
      </c>
      <c r="D20">
        <v>274.2</v>
      </c>
      <c r="E20">
        <v>57</v>
      </c>
      <c r="F20" s="8">
        <f t="shared" si="0"/>
        <v>4.8105263157894731</v>
      </c>
      <c r="G20">
        <v>3.3</v>
      </c>
      <c r="H20">
        <v>4</v>
      </c>
      <c r="I20">
        <v>74</v>
      </c>
      <c r="J20">
        <v>95</v>
      </c>
      <c r="K20" t="str">
        <f>IF(COUNTIFS($A$2:A20, A20, $C$2:C20, C20)&gt;1, "Duplicate", "Unique")</f>
        <v>Unique</v>
      </c>
      <c r="L20" t="str">
        <f t="shared" si="1"/>
        <v>Normal</v>
      </c>
      <c r="M20" t="str">
        <f t="shared" si="2"/>
        <v>Normal</v>
      </c>
      <c r="N20" s="55"/>
    </row>
    <row r="21" spans="1:14" x14ac:dyDescent="0.3">
      <c r="A21" t="s">
        <v>27</v>
      </c>
      <c r="B21" t="s">
        <v>28</v>
      </c>
      <c r="C21" s="2">
        <v>46037</v>
      </c>
      <c r="D21">
        <v>327.5</v>
      </c>
      <c r="E21">
        <v>81.8</v>
      </c>
      <c r="F21" s="8">
        <f t="shared" si="0"/>
        <v>4.0036674816625917</v>
      </c>
      <c r="G21">
        <v>4.0999999999999996</v>
      </c>
      <c r="H21">
        <v>4</v>
      </c>
      <c r="I21">
        <v>73.2</v>
      </c>
      <c r="J21">
        <v>95.2</v>
      </c>
      <c r="K21" t="str">
        <f>IF(COUNTIFS($A$2:A21, A21, $C$2:C21, C21)&gt;1, "Duplicate", "Unique")</f>
        <v>Unique</v>
      </c>
      <c r="L21" t="str">
        <f t="shared" si="1"/>
        <v>Normal</v>
      </c>
      <c r="M21" t="str">
        <f t="shared" si="2"/>
        <v>Normal</v>
      </c>
      <c r="N21" s="55"/>
    </row>
    <row r="22" spans="1:14" x14ac:dyDescent="0.3">
      <c r="A22" t="s">
        <v>27</v>
      </c>
      <c r="B22" t="s">
        <v>28</v>
      </c>
      <c r="C22" s="2">
        <v>46072</v>
      </c>
      <c r="D22">
        <v>329.1</v>
      </c>
      <c r="E22">
        <v>77.5</v>
      </c>
      <c r="F22" s="8">
        <f t="shared" si="0"/>
        <v>4.2464516129032264</v>
      </c>
      <c r="G22">
        <v>3</v>
      </c>
      <c r="H22">
        <v>2</v>
      </c>
      <c r="I22">
        <v>64</v>
      </c>
      <c r="J22">
        <v>93.8</v>
      </c>
      <c r="K22" t="str">
        <f>IF(COUNTIFS($A$2:A22, A22, $C$2:C22, C22)&gt;1, "Duplicate", "Unique")</f>
        <v>Unique</v>
      </c>
      <c r="L22" t="str">
        <f t="shared" si="1"/>
        <v>Normal</v>
      </c>
      <c r="M22" t="str">
        <f t="shared" si="2"/>
        <v>Normal</v>
      </c>
      <c r="N22" s="55"/>
    </row>
    <row r="23" spans="1:14" x14ac:dyDescent="0.3">
      <c r="A23" t="s">
        <v>27</v>
      </c>
      <c r="B23" t="s">
        <v>28</v>
      </c>
      <c r="C23" s="2">
        <v>46034</v>
      </c>
      <c r="D23">
        <v>384.6</v>
      </c>
      <c r="E23">
        <v>94.4</v>
      </c>
      <c r="F23" s="8">
        <f t="shared" si="0"/>
        <v>4.0741525423728815</v>
      </c>
      <c r="G23">
        <v>2.8</v>
      </c>
      <c r="H23">
        <v>2</v>
      </c>
      <c r="I23">
        <v>32.9</v>
      </c>
      <c r="J23">
        <v>88.3</v>
      </c>
      <c r="K23" t="str">
        <f>IF(COUNTIFS($A$2:A23, A23, $C$2:C23, C23)&gt;1, "Duplicate", "Unique")</f>
        <v>Duplicate</v>
      </c>
      <c r="L23" t="str">
        <f t="shared" si="1"/>
        <v>Normal</v>
      </c>
      <c r="M23" t="str">
        <f t="shared" si="2"/>
        <v>Normal</v>
      </c>
      <c r="N23" s="55"/>
    </row>
    <row r="24" spans="1:14" x14ac:dyDescent="0.3">
      <c r="A24" t="s">
        <v>27</v>
      </c>
      <c r="B24" t="s">
        <v>28</v>
      </c>
      <c r="C24" s="2">
        <v>46031</v>
      </c>
      <c r="D24">
        <v>420.1</v>
      </c>
      <c r="E24">
        <v>98.1</v>
      </c>
      <c r="F24" s="8">
        <f t="shared" si="0"/>
        <v>4.2823649337410812</v>
      </c>
      <c r="G24">
        <v>3.3</v>
      </c>
      <c r="H24">
        <v>6</v>
      </c>
      <c r="I24">
        <v>45.6</v>
      </c>
      <c r="J24">
        <v>97.2</v>
      </c>
      <c r="K24" t="str">
        <f>IF(COUNTIFS($A$2:A24, A24, $C$2:C24, C24)&gt;1, "Duplicate", "Unique")</f>
        <v>Unique</v>
      </c>
      <c r="L24" t="str">
        <f t="shared" si="1"/>
        <v>Normal</v>
      </c>
      <c r="M24" t="str">
        <f t="shared" si="2"/>
        <v>Normal</v>
      </c>
      <c r="N24" s="55"/>
    </row>
    <row r="25" spans="1:14" x14ac:dyDescent="0.3">
      <c r="A25" t="s">
        <v>27</v>
      </c>
      <c r="B25" t="s">
        <v>28</v>
      </c>
      <c r="C25" s="2">
        <v>46024</v>
      </c>
      <c r="D25">
        <v>329.4</v>
      </c>
      <c r="E25">
        <v>86.1</v>
      </c>
      <c r="F25" s="8">
        <f t="shared" si="0"/>
        <v>3.8257839721254356</v>
      </c>
      <c r="G25">
        <v>0.6</v>
      </c>
      <c r="H25">
        <v>6</v>
      </c>
      <c r="I25">
        <v>57.6</v>
      </c>
      <c r="J25">
        <v>88.9</v>
      </c>
      <c r="K25" t="str">
        <f>IF(COUNTIFS($A$2:A25, A25, $C$2:C25, C25)&gt;1, "Duplicate", "Unique")</f>
        <v>Unique</v>
      </c>
      <c r="L25" t="str">
        <f t="shared" si="1"/>
        <v>Normal</v>
      </c>
      <c r="M25" t="str">
        <f t="shared" si="2"/>
        <v>Normal</v>
      </c>
      <c r="N25" s="55"/>
    </row>
    <row r="26" spans="1:14" x14ac:dyDescent="0.3">
      <c r="A26" t="s">
        <v>27</v>
      </c>
      <c r="B26" t="s">
        <v>28</v>
      </c>
      <c r="C26" s="2">
        <v>46078</v>
      </c>
      <c r="D26">
        <v>375.2</v>
      </c>
      <c r="E26">
        <v>85</v>
      </c>
      <c r="F26" s="8">
        <f t="shared" si="0"/>
        <v>4.4141176470588235</v>
      </c>
      <c r="G26">
        <v>3.6</v>
      </c>
      <c r="H26">
        <v>6</v>
      </c>
      <c r="I26">
        <v>38.5</v>
      </c>
      <c r="J26">
        <v>98.2</v>
      </c>
      <c r="K26" t="str">
        <f>IF(COUNTIFS($A$2:A26, A26, $C$2:C26, C26)&gt;1, "Duplicate", "Unique")</f>
        <v>Unique</v>
      </c>
      <c r="L26" t="str">
        <f t="shared" si="1"/>
        <v>Normal</v>
      </c>
      <c r="M26" t="str">
        <f t="shared" si="2"/>
        <v>Normal</v>
      </c>
      <c r="N26" s="55"/>
    </row>
    <row r="27" spans="1:14" x14ac:dyDescent="0.3">
      <c r="A27" t="s">
        <v>27</v>
      </c>
      <c r="B27" t="s">
        <v>28</v>
      </c>
      <c r="C27" s="2">
        <v>46044</v>
      </c>
      <c r="D27">
        <v>373.9</v>
      </c>
      <c r="E27">
        <v>85.4</v>
      </c>
      <c r="F27" s="8">
        <f t="shared" si="0"/>
        <v>4.3782201405152223</v>
      </c>
      <c r="G27">
        <v>1.9</v>
      </c>
      <c r="H27">
        <v>4</v>
      </c>
      <c r="I27">
        <v>30.4</v>
      </c>
      <c r="J27">
        <v>85.6</v>
      </c>
      <c r="K27" t="str">
        <f>IF(COUNTIFS($A$2:A27, A27, $C$2:C27, C27)&gt;1, "Duplicate", "Unique")</f>
        <v>Unique</v>
      </c>
      <c r="L27" t="str">
        <f t="shared" si="1"/>
        <v>Normal</v>
      </c>
      <c r="M27" t="str">
        <f t="shared" si="2"/>
        <v>Normal</v>
      </c>
      <c r="N27" s="55"/>
    </row>
    <row r="28" spans="1:14" x14ac:dyDescent="0.3">
      <c r="A28" t="s">
        <v>27</v>
      </c>
      <c r="B28" t="s">
        <v>28</v>
      </c>
      <c r="C28" s="2">
        <v>46062</v>
      </c>
      <c r="D28">
        <v>142.6</v>
      </c>
      <c r="E28">
        <v>38.1</v>
      </c>
      <c r="F28" s="8">
        <f t="shared" si="0"/>
        <v>3.742782152230971</v>
      </c>
      <c r="G28">
        <v>3.7</v>
      </c>
      <c r="H28">
        <v>8</v>
      </c>
      <c r="I28">
        <v>58</v>
      </c>
      <c r="J28">
        <v>91.6</v>
      </c>
      <c r="K28" t="str">
        <f>IF(COUNTIFS($A$2:A28, A28, $C$2:C28, C28)&gt;1, "Duplicate", "Unique")</f>
        <v>Unique</v>
      </c>
      <c r="L28" t="str">
        <f t="shared" si="1"/>
        <v>Normal</v>
      </c>
      <c r="M28" t="str">
        <f t="shared" si="2"/>
        <v>Normal</v>
      </c>
      <c r="N28" s="55"/>
    </row>
    <row r="29" spans="1:14" x14ac:dyDescent="0.3">
      <c r="A29" t="s">
        <v>27</v>
      </c>
      <c r="B29" t="s">
        <v>28</v>
      </c>
      <c r="C29" s="2">
        <v>46028</v>
      </c>
      <c r="D29">
        <v>171.5</v>
      </c>
      <c r="E29">
        <v>40.5</v>
      </c>
      <c r="F29" s="8">
        <f t="shared" si="0"/>
        <v>4.2345679012345681</v>
      </c>
      <c r="G29">
        <v>1.6</v>
      </c>
      <c r="H29">
        <v>7</v>
      </c>
      <c r="I29">
        <v>63.5</v>
      </c>
      <c r="J29">
        <v>85.3</v>
      </c>
      <c r="K29" t="str">
        <f>IF(COUNTIFS($A$2:A29, A29, $C$2:C29, C29)&gt;1, "Duplicate", "Unique")</f>
        <v>Unique</v>
      </c>
      <c r="L29" t="str">
        <f t="shared" si="1"/>
        <v>Normal</v>
      </c>
      <c r="M29" t="str">
        <f t="shared" si="2"/>
        <v>Normal</v>
      </c>
      <c r="N29" s="55"/>
    </row>
    <row r="30" spans="1:14" x14ac:dyDescent="0.3">
      <c r="A30" t="s">
        <v>27</v>
      </c>
      <c r="B30" t="s">
        <v>28</v>
      </c>
      <c r="C30" s="2">
        <v>46081</v>
      </c>
      <c r="D30">
        <v>264.10000000000002</v>
      </c>
      <c r="E30">
        <v>63.7</v>
      </c>
      <c r="F30" s="8">
        <f t="shared" si="0"/>
        <v>4.1459968602825743</v>
      </c>
      <c r="G30">
        <v>3.7</v>
      </c>
      <c r="H30">
        <v>8</v>
      </c>
      <c r="I30">
        <v>40.700000000000003</v>
      </c>
      <c r="J30">
        <v>93.8</v>
      </c>
      <c r="K30" t="str">
        <f>IF(COUNTIFS($A$2:A30, A30, $C$2:C30, C30)&gt;1, "Duplicate", "Unique")</f>
        <v>Unique</v>
      </c>
      <c r="L30" t="str">
        <f t="shared" si="1"/>
        <v>Normal</v>
      </c>
      <c r="M30" t="str">
        <f t="shared" si="2"/>
        <v>Normal</v>
      </c>
      <c r="N30" s="55"/>
    </row>
    <row r="31" spans="1:14" x14ac:dyDescent="0.3">
      <c r="A31" t="s">
        <v>27</v>
      </c>
      <c r="B31" t="s">
        <v>28</v>
      </c>
      <c r="C31" s="2">
        <v>46038</v>
      </c>
      <c r="D31">
        <v>88.9</v>
      </c>
      <c r="E31">
        <v>19.8</v>
      </c>
      <c r="F31" s="8">
        <f t="shared" si="0"/>
        <v>4.4898989898989896</v>
      </c>
      <c r="G31">
        <v>0.7</v>
      </c>
      <c r="H31">
        <v>4</v>
      </c>
      <c r="I31">
        <v>66</v>
      </c>
      <c r="J31">
        <v>100</v>
      </c>
      <c r="K31" t="str">
        <f>IF(COUNTIFS($A$2:A31, A31, $C$2:C31, C31)&gt;1, "Duplicate", "Unique")</f>
        <v>Unique</v>
      </c>
      <c r="L31" t="str">
        <f t="shared" si="1"/>
        <v>Normal</v>
      </c>
      <c r="M31" t="str">
        <f t="shared" si="2"/>
        <v>Normal</v>
      </c>
      <c r="N31" s="55"/>
    </row>
    <row r="32" spans="1:14" x14ac:dyDescent="0.3">
      <c r="A32" t="s">
        <v>27</v>
      </c>
      <c r="B32" t="s">
        <v>28</v>
      </c>
      <c r="C32" s="2">
        <v>46066</v>
      </c>
      <c r="D32">
        <v>443.9</v>
      </c>
      <c r="E32">
        <v>98.8</v>
      </c>
      <c r="F32" s="8">
        <f t="shared" si="0"/>
        <v>4.4929149797570851</v>
      </c>
      <c r="G32">
        <v>3.8</v>
      </c>
      <c r="H32">
        <v>7</v>
      </c>
      <c r="I32">
        <v>38.4</v>
      </c>
      <c r="J32">
        <v>86.8</v>
      </c>
      <c r="K32" t="str">
        <f>IF(COUNTIFS($A$2:A32, A32, $C$2:C32, C32)&gt;1, "Duplicate", "Unique")</f>
        <v>Duplicate</v>
      </c>
      <c r="L32" t="str">
        <f t="shared" si="1"/>
        <v>Normal</v>
      </c>
      <c r="M32" t="str">
        <f t="shared" si="2"/>
        <v>Normal</v>
      </c>
      <c r="N32" s="55"/>
    </row>
    <row r="33" spans="1:14" x14ac:dyDescent="0.3">
      <c r="A33" t="s">
        <v>27</v>
      </c>
      <c r="B33" t="s">
        <v>28</v>
      </c>
      <c r="C33" s="2">
        <v>46083</v>
      </c>
      <c r="D33">
        <v>414.2</v>
      </c>
      <c r="E33">
        <v>141.1</v>
      </c>
      <c r="F33" s="8">
        <f t="shared" si="0"/>
        <v>2.9355067328136073</v>
      </c>
      <c r="G33">
        <v>1.8</v>
      </c>
      <c r="H33">
        <v>2</v>
      </c>
      <c r="I33">
        <v>49.2</v>
      </c>
      <c r="J33">
        <v>87.7</v>
      </c>
      <c r="K33" t="str">
        <f>IF(COUNTIFS($A$2:A33, A33, $C$2:C33, C33)&gt;1, "Duplicate", "Unique")</f>
        <v>Unique</v>
      </c>
      <c r="L33" t="str">
        <f t="shared" si="1"/>
        <v>Normal</v>
      </c>
      <c r="M33" t="str">
        <f t="shared" si="2"/>
        <v>Suspiciously Low Efficiency</v>
      </c>
      <c r="N33" s="55"/>
    </row>
    <row r="34" spans="1:14" x14ac:dyDescent="0.3">
      <c r="A34" t="s">
        <v>27</v>
      </c>
      <c r="B34" t="s">
        <v>28</v>
      </c>
      <c r="C34" s="2">
        <v>46041</v>
      </c>
      <c r="D34">
        <v>324.5</v>
      </c>
      <c r="E34">
        <v>80.7</v>
      </c>
      <c r="F34" s="8">
        <f t="shared" si="0"/>
        <v>4.0210656753407683</v>
      </c>
      <c r="G34">
        <v>1.5</v>
      </c>
      <c r="H34">
        <v>8</v>
      </c>
      <c r="I34">
        <v>38.799999999999997</v>
      </c>
      <c r="J34">
        <v>95.2</v>
      </c>
      <c r="K34" t="str">
        <f>IF(COUNTIFS($A$2:A34, A34, $C$2:C34, C34)&gt;1, "Duplicate", "Unique")</f>
        <v>Unique</v>
      </c>
      <c r="L34" t="str">
        <f t="shared" si="1"/>
        <v>Normal</v>
      </c>
      <c r="M34" t="str">
        <f t="shared" si="2"/>
        <v>Normal</v>
      </c>
      <c r="N34" s="55"/>
    </row>
    <row r="35" spans="1:14" x14ac:dyDescent="0.3">
      <c r="A35" t="s">
        <v>27</v>
      </c>
      <c r="B35" t="s">
        <v>28</v>
      </c>
      <c r="C35" s="2">
        <v>46027</v>
      </c>
      <c r="D35">
        <v>325.89999999999998</v>
      </c>
      <c r="E35">
        <v>92.6</v>
      </c>
      <c r="F35" s="8">
        <f t="shared" si="0"/>
        <v>3.5194384449244058</v>
      </c>
      <c r="G35">
        <v>3.2</v>
      </c>
      <c r="H35">
        <v>7</v>
      </c>
      <c r="I35">
        <v>55.9</v>
      </c>
      <c r="J35">
        <v>92.7</v>
      </c>
      <c r="K35" t="str">
        <f>IF(COUNTIFS($A$2:A35, A35, $C$2:C35, C35)&gt;1, "Duplicate", "Unique")</f>
        <v>Unique</v>
      </c>
      <c r="L35" t="str">
        <f t="shared" si="1"/>
        <v>Normal</v>
      </c>
      <c r="M35" t="str">
        <f t="shared" si="2"/>
        <v>Normal</v>
      </c>
      <c r="N35" s="55"/>
    </row>
    <row r="36" spans="1:14" x14ac:dyDescent="0.3">
      <c r="A36" t="s">
        <v>27</v>
      </c>
      <c r="B36" t="s">
        <v>28</v>
      </c>
      <c r="C36" s="2">
        <v>46045</v>
      </c>
      <c r="D36">
        <v>314.10000000000002</v>
      </c>
      <c r="E36">
        <v>59.9</v>
      </c>
      <c r="F36" s="8">
        <f t="shared" si="0"/>
        <v>5.2437395659432395</v>
      </c>
      <c r="G36">
        <v>3.7</v>
      </c>
      <c r="H36">
        <v>2</v>
      </c>
      <c r="I36">
        <v>50.5</v>
      </c>
      <c r="J36">
        <v>87.6</v>
      </c>
      <c r="K36" t="str">
        <f>IF(COUNTIFS($A$2:A36, A36, $C$2:C36, C36)&gt;1, "Duplicate", "Unique")</f>
        <v>Unique</v>
      </c>
      <c r="L36" t="str">
        <f t="shared" si="1"/>
        <v>Normal</v>
      </c>
      <c r="M36" t="str">
        <f t="shared" si="2"/>
        <v>Normal</v>
      </c>
      <c r="N36" s="55"/>
    </row>
    <row r="37" spans="1:14" x14ac:dyDescent="0.3">
      <c r="A37" t="s">
        <v>27</v>
      </c>
      <c r="B37" t="s">
        <v>28</v>
      </c>
      <c r="C37" s="2">
        <v>46060</v>
      </c>
      <c r="D37">
        <v>150</v>
      </c>
      <c r="E37">
        <v>52.5</v>
      </c>
      <c r="F37" s="8">
        <f t="shared" si="0"/>
        <v>2.8571428571428572</v>
      </c>
      <c r="G37">
        <v>3.6</v>
      </c>
      <c r="H37">
        <v>6</v>
      </c>
      <c r="I37">
        <v>48.5</v>
      </c>
      <c r="J37">
        <v>90.1</v>
      </c>
      <c r="K37" t="str">
        <f>IF(COUNTIFS($A$2:A37, A37, $C$2:C37, C37)&gt;1, "Duplicate", "Unique")</f>
        <v>Unique</v>
      </c>
      <c r="L37" t="str">
        <f t="shared" si="1"/>
        <v>Normal</v>
      </c>
      <c r="M37" t="str">
        <f t="shared" si="2"/>
        <v>Suspiciously Low Efficiency</v>
      </c>
      <c r="N37" s="55"/>
    </row>
    <row r="38" spans="1:14" x14ac:dyDescent="0.3">
      <c r="A38" t="s">
        <v>27</v>
      </c>
      <c r="B38" t="s">
        <v>28</v>
      </c>
      <c r="C38" s="2">
        <v>46023</v>
      </c>
      <c r="D38">
        <v>250</v>
      </c>
      <c r="E38">
        <v>120</v>
      </c>
      <c r="F38" s="8">
        <f t="shared" si="0"/>
        <v>2.0833333333333335</v>
      </c>
      <c r="G38">
        <v>1.5</v>
      </c>
      <c r="H38">
        <v>4</v>
      </c>
      <c r="I38">
        <v>55</v>
      </c>
      <c r="J38">
        <v>96</v>
      </c>
      <c r="K38" t="str">
        <f>IF(COUNTIFS($A$2:A38, A38, $C$2:C38, C38)&gt;1, "Duplicate", "Unique")</f>
        <v>Unique</v>
      </c>
      <c r="L38" t="str">
        <f t="shared" si="1"/>
        <v>Normal</v>
      </c>
      <c r="M38" t="str">
        <f t="shared" si="2"/>
        <v>Suspiciously Low Efficiency</v>
      </c>
      <c r="N38" s="55"/>
    </row>
    <row r="39" spans="1:14" x14ac:dyDescent="0.3">
      <c r="A39" t="s">
        <v>21</v>
      </c>
      <c r="B39" t="s">
        <v>22</v>
      </c>
      <c r="C39" s="2">
        <v>46052</v>
      </c>
      <c r="D39">
        <v>384.1</v>
      </c>
      <c r="E39">
        <v>77.2</v>
      </c>
      <c r="F39" s="8">
        <f t="shared" si="0"/>
        <v>4.9753886010362693</v>
      </c>
      <c r="G39">
        <v>1.9</v>
      </c>
      <c r="H39">
        <v>2</v>
      </c>
      <c r="I39">
        <v>39.5</v>
      </c>
      <c r="J39">
        <v>99.1</v>
      </c>
      <c r="K39" t="str">
        <f>IF(COUNTIFS($A$2:A39, A39, $C$2:C39, C39)&gt;1, "Duplicate", "Unique")</f>
        <v>Unique</v>
      </c>
      <c r="L39" t="str">
        <f t="shared" si="1"/>
        <v>Normal</v>
      </c>
      <c r="M39" t="str">
        <f t="shared" si="2"/>
        <v>Normal</v>
      </c>
      <c r="N39" s="55"/>
    </row>
    <row r="40" spans="1:14" x14ac:dyDescent="0.3">
      <c r="A40" t="s">
        <v>21</v>
      </c>
      <c r="B40" t="s">
        <v>22</v>
      </c>
      <c r="C40" s="2">
        <v>46097</v>
      </c>
      <c r="D40">
        <v>352.2</v>
      </c>
      <c r="E40">
        <v>118.8</v>
      </c>
      <c r="F40" s="8">
        <f t="shared" si="0"/>
        <v>2.9646464646464645</v>
      </c>
      <c r="G40">
        <v>1.5</v>
      </c>
      <c r="H40">
        <v>1</v>
      </c>
      <c r="I40">
        <v>56.3</v>
      </c>
      <c r="J40">
        <v>92.5</v>
      </c>
      <c r="K40" t="str">
        <f>IF(COUNTIFS($A$2:A40, A40, $C$2:C40, C40)&gt;1, "Duplicate", "Unique")</f>
        <v>Unique</v>
      </c>
      <c r="L40" t="str">
        <f t="shared" si="1"/>
        <v>Normal</v>
      </c>
      <c r="M40" t="str">
        <f t="shared" si="2"/>
        <v>Suspiciously Low Efficiency</v>
      </c>
      <c r="N40" s="55"/>
    </row>
    <row r="41" spans="1:14" x14ac:dyDescent="0.3">
      <c r="A41" t="s">
        <v>21</v>
      </c>
      <c r="B41" t="s">
        <v>22</v>
      </c>
      <c r="C41" s="2">
        <v>46036</v>
      </c>
      <c r="D41">
        <v>300.7</v>
      </c>
      <c r="E41">
        <v>80.5</v>
      </c>
      <c r="F41" s="8">
        <f t="shared" si="0"/>
        <v>3.7354037267080744</v>
      </c>
      <c r="G41">
        <v>3.6</v>
      </c>
      <c r="H41">
        <v>7</v>
      </c>
      <c r="I41">
        <v>57.3</v>
      </c>
      <c r="J41">
        <v>92.7</v>
      </c>
      <c r="K41" t="str">
        <f>IF(COUNTIFS($A$2:A41, A41, $C$2:C41, C41)&gt;1, "Duplicate", "Unique")</f>
        <v>Unique</v>
      </c>
      <c r="L41" t="str">
        <f t="shared" si="1"/>
        <v>Normal</v>
      </c>
      <c r="M41" t="str">
        <f t="shared" si="2"/>
        <v>Normal</v>
      </c>
      <c r="N41" s="55"/>
    </row>
    <row r="42" spans="1:14" x14ac:dyDescent="0.3">
      <c r="A42" t="s">
        <v>21</v>
      </c>
      <c r="B42" t="s">
        <v>22</v>
      </c>
      <c r="C42" s="2">
        <v>46084</v>
      </c>
      <c r="D42">
        <v>393.5</v>
      </c>
      <c r="E42">
        <v>99.6</v>
      </c>
      <c r="F42" s="8">
        <f t="shared" si="0"/>
        <v>3.9508032128514059</v>
      </c>
      <c r="G42">
        <v>0.7</v>
      </c>
      <c r="H42">
        <v>8</v>
      </c>
      <c r="I42">
        <v>33.299999999999997</v>
      </c>
      <c r="J42">
        <v>86.2</v>
      </c>
      <c r="K42" t="str">
        <f>IF(COUNTIFS($A$2:A42, A42, $C$2:C42, C42)&gt;1, "Duplicate", "Unique")</f>
        <v>Unique</v>
      </c>
      <c r="L42" t="str">
        <f t="shared" si="1"/>
        <v>Normal</v>
      </c>
      <c r="M42" t="str">
        <f t="shared" si="2"/>
        <v>Normal</v>
      </c>
      <c r="N42" s="55"/>
    </row>
    <row r="43" spans="1:14" x14ac:dyDescent="0.3">
      <c r="A43" t="s">
        <v>21</v>
      </c>
      <c r="B43" t="s">
        <v>22</v>
      </c>
      <c r="C43" s="2">
        <v>46078</v>
      </c>
      <c r="D43">
        <v>86.9</v>
      </c>
      <c r="E43">
        <v>16.399999999999999</v>
      </c>
      <c r="F43" s="8">
        <f t="shared" si="0"/>
        <v>5.298780487804879</v>
      </c>
      <c r="G43">
        <v>3.9</v>
      </c>
      <c r="H43">
        <v>7</v>
      </c>
      <c r="I43">
        <v>55.8</v>
      </c>
      <c r="J43">
        <v>95.6</v>
      </c>
      <c r="K43" t="str">
        <f>IF(COUNTIFS($A$2:A43, A43, $C$2:C43, C43)&gt;1, "Duplicate", "Unique")</f>
        <v>Unique</v>
      </c>
      <c r="L43" t="str">
        <f t="shared" si="1"/>
        <v>Normal</v>
      </c>
      <c r="M43" t="str">
        <f t="shared" si="2"/>
        <v>Normal</v>
      </c>
      <c r="N43" s="55"/>
    </row>
    <row r="44" spans="1:14" x14ac:dyDescent="0.3">
      <c r="A44" t="s">
        <v>21</v>
      </c>
      <c r="B44" t="s">
        <v>22</v>
      </c>
      <c r="C44" s="2">
        <v>46032</v>
      </c>
      <c r="D44">
        <v>328.3</v>
      </c>
      <c r="E44">
        <v>84.2</v>
      </c>
      <c r="F44" s="8">
        <f t="shared" si="0"/>
        <v>3.8990498812351544</v>
      </c>
      <c r="G44">
        <v>2.4</v>
      </c>
      <c r="H44">
        <v>3</v>
      </c>
      <c r="I44">
        <v>72.900000000000006</v>
      </c>
      <c r="J44">
        <v>87.1</v>
      </c>
      <c r="K44" t="str">
        <f>IF(COUNTIFS($A$2:A44, A44, $C$2:C44, C44)&gt;1, "Duplicate", "Unique")</f>
        <v>Unique</v>
      </c>
      <c r="L44" t="str">
        <f t="shared" si="1"/>
        <v>Normal</v>
      </c>
      <c r="M44" t="str">
        <f t="shared" si="2"/>
        <v>Normal</v>
      </c>
      <c r="N44" s="55"/>
    </row>
    <row r="45" spans="1:14" x14ac:dyDescent="0.3">
      <c r="A45" t="s">
        <v>21</v>
      </c>
      <c r="B45" t="s">
        <v>22</v>
      </c>
      <c r="C45" s="2">
        <v>46100</v>
      </c>
      <c r="D45">
        <v>136.80000000000001</v>
      </c>
      <c r="E45">
        <v>34.1</v>
      </c>
      <c r="F45" s="8">
        <f t="shared" si="0"/>
        <v>4.0117302052785924</v>
      </c>
      <c r="G45">
        <v>1.8</v>
      </c>
      <c r="H45">
        <v>8</v>
      </c>
      <c r="I45">
        <v>64.3</v>
      </c>
      <c r="J45">
        <v>93.6</v>
      </c>
      <c r="K45" t="str">
        <f>IF(COUNTIFS($A$2:A45, A45, $C$2:C45, C45)&gt;1, "Duplicate", "Unique")</f>
        <v>Unique</v>
      </c>
      <c r="L45" t="str">
        <f t="shared" si="1"/>
        <v>Normal</v>
      </c>
      <c r="M45" t="str">
        <f t="shared" si="2"/>
        <v>Normal</v>
      </c>
      <c r="N45" s="55"/>
    </row>
    <row r="46" spans="1:14" x14ac:dyDescent="0.3">
      <c r="A46" t="s">
        <v>21</v>
      </c>
      <c r="B46" t="s">
        <v>22</v>
      </c>
      <c r="C46" s="2">
        <v>46105</v>
      </c>
      <c r="D46">
        <v>365.3</v>
      </c>
      <c r="E46">
        <v>103.9</v>
      </c>
      <c r="F46" s="8">
        <f t="shared" si="0"/>
        <v>3.5158806544754571</v>
      </c>
      <c r="G46">
        <v>1.1000000000000001</v>
      </c>
      <c r="H46">
        <v>7</v>
      </c>
      <c r="I46">
        <v>57.8</v>
      </c>
      <c r="J46">
        <v>85.5</v>
      </c>
      <c r="K46" t="str">
        <f>IF(COUNTIFS($A$2:A46, A46, $C$2:C46, C46)&gt;1, "Duplicate", "Unique")</f>
        <v>Unique</v>
      </c>
      <c r="L46" t="str">
        <f t="shared" si="1"/>
        <v>Normal</v>
      </c>
      <c r="M46" t="str">
        <f t="shared" si="2"/>
        <v>Normal</v>
      </c>
      <c r="N46" s="55"/>
    </row>
    <row r="47" spans="1:14" x14ac:dyDescent="0.3">
      <c r="A47" t="s">
        <v>21</v>
      </c>
      <c r="B47" t="s">
        <v>22</v>
      </c>
      <c r="C47" s="2">
        <v>46043</v>
      </c>
      <c r="D47">
        <v>242.7</v>
      </c>
      <c r="E47">
        <v>59.1</v>
      </c>
      <c r="F47" s="8">
        <f t="shared" si="0"/>
        <v>4.1065989847715736</v>
      </c>
      <c r="G47">
        <v>1.1000000000000001</v>
      </c>
      <c r="H47">
        <v>3</v>
      </c>
      <c r="I47">
        <v>44.1</v>
      </c>
      <c r="J47">
        <v>95.8</v>
      </c>
      <c r="K47" t="str">
        <f>IF(COUNTIFS($A$2:A47, A47, $C$2:C47, C47)&gt;1, "Duplicate", "Unique")</f>
        <v>Unique</v>
      </c>
      <c r="L47" t="str">
        <f t="shared" si="1"/>
        <v>Normal</v>
      </c>
      <c r="M47" t="str">
        <f t="shared" si="2"/>
        <v>Normal</v>
      </c>
      <c r="N47" s="55"/>
    </row>
    <row r="48" spans="1:14" x14ac:dyDescent="0.3">
      <c r="A48" t="s">
        <v>21</v>
      </c>
      <c r="B48" t="s">
        <v>22</v>
      </c>
      <c r="C48" s="2">
        <v>46045</v>
      </c>
      <c r="D48">
        <v>234.6</v>
      </c>
      <c r="E48">
        <v>46.3</v>
      </c>
      <c r="F48" s="8">
        <f t="shared" si="0"/>
        <v>5.0669546436285096</v>
      </c>
      <c r="G48">
        <v>4.2</v>
      </c>
      <c r="H48">
        <v>1</v>
      </c>
      <c r="I48">
        <v>74.900000000000006</v>
      </c>
      <c r="J48">
        <v>91</v>
      </c>
      <c r="K48" t="str">
        <f>IF(COUNTIFS($A$2:A48, A48, $C$2:C48, C48)&gt;1, "Duplicate", "Unique")</f>
        <v>Unique</v>
      </c>
      <c r="L48" t="str">
        <f t="shared" si="1"/>
        <v>Normal</v>
      </c>
      <c r="M48" t="str">
        <f t="shared" si="2"/>
        <v>Normal</v>
      </c>
      <c r="N48" s="55"/>
    </row>
    <row r="49" spans="1:14" x14ac:dyDescent="0.3">
      <c r="A49" t="s">
        <v>21</v>
      </c>
      <c r="B49" t="s">
        <v>22</v>
      </c>
      <c r="C49" s="2">
        <v>46081</v>
      </c>
      <c r="D49">
        <v>128.80000000000001</v>
      </c>
      <c r="E49">
        <v>32.799999999999997</v>
      </c>
      <c r="F49" s="8">
        <f t="shared" si="0"/>
        <v>3.9268292682926838</v>
      </c>
      <c r="G49">
        <v>2.6</v>
      </c>
      <c r="H49">
        <v>8</v>
      </c>
      <c r="I49">
        <v>60.3</v>
      </c>
      <c r="J49">
        <v>89.6</v>
      </c>
      <c r="K49" t="str">
        <f>IF(COUNTIFS($A$2:A49, A49, $C$2:C49, C49)&gt;1, "Duplicate", "Unique")</f>
        <v>Unique</v>
      </c>
      <c r="L49" t="str">
        <f t="shared" si="1"/>
        <v>Normal</v>
      </c>
      <c r="M49" t="str">
        <f t="shared" si="2"/>
        <v>Normal</v>
      </c>
      <c r="N49" s="55"/>
    </row>
    <row r="50" spans="1:14" x14ac:dyDescent="0.3">
      <c r="A50" t="s">
        <v>21</v>
      </c>
      <c r="B50" t="s">
        <v>22</v>
      </c>
      <c r="C50" s="2">
        <v>46090</v>
      </c>
      <c r="D50">
        <v>92.5</v>
      </c>
      <c r="E50">
        <v>18.2</v>
      </c>
      <c r="F50" s="8">
        <f t="shared" si="0"/>
        <v>5.082417582417583</v>
      </c>
      <c r="G50">
        <v>4.3</v>
      </c>
      <c r="H50">
        <v>1</v>
      </c>
      <c r="I50">
        <v>64.400000000000006</v>
      </c>
      <c r="J50">
        <v>91.2</v>
      </c>
      <c r="K50" t="str">
        <f>IF(COUNTIFS($A$2:A50, A50, $C$2:C50, C50)&gt;1, "Duplicate", "Unique")</f>
        <v>Unique</v>
      </c>
      <c r="L50" t="str">
        <f t="shared" si="1"/>
        <v>Normal</v>
      </c>
      <c r="M50" t="str">
        <f t="shared" si="2"/>
        <v>Normal</v>
      </c>
      <c r="N50" s="55"/>
    </row>
    <row r="51" spans="1:14" x14ac:dyDescent="0.3">
      <c r="A51" t="s">
        <v>21</v>
      </c>
      <c r="B51" t="s">
        <v>22</v>
      </c>
      <c r="C51" s="2">
        <v>46104</v>
      </c>
      <c r="D51">
        <v>83.5</v>
      </c>
      <c r="E51">
        <v>25.6</v>
      </c>
      <c r="F51" s="8">
        <f t="shared" si="0"/>
        <v>3.26171875</v>
      </c>
      <c r="G51">
        <v>2.2999999999999998</v>
      </c>
      <c r="H51">
        <v>7</v>
      </c>
      <c r="I51">
        <v>59</v>
      </c>
      <c r="J51">
        <v>90</v>
      </c>
      <c r="K51" t="str">
        <f>IF(COUNTIFS($A$2:A51, A51, $C$2:C51, C51)&gt;1, "Duplicate", "Unique")</f>
        <v>Unique</v>
      </c>
      <c r="L51" t="str">
        <f t="shared" si="1"/>
        <v>Normal</v>
      </c>
      <c r="M51" t="str">
        <f t="shared" si="2"/>
        <v>Normal</v>
      </c>
      <c r="N51" s="55"/>
    </row>
    <row r="52" spans="1:14" x14ac:dyDescent="0.3">
      <c r="A52" t="s">
        <v>21</v>
      </c>
      <c r="B52" t="s">
        <v>22</v>
      </c>
      <c r="C52" s="2">
        <v>46035</v>
      </c>
      <c r="D52">
        <v>311.7</v>
      </c>
      <c r="E52">
        <v>61.6</v>
      </c>
      <c r="F52" s="8">
        <f t="shared" si="0"/>
        <v>5.0600649350649345</v>
      </c>
      <c r="G52">
        <v>0.3</v>
      </c>
      <c r="H52">
        <v>3</v>
      </c>
      <c r="I52">
        <v>49.9</v>
      </c>
      <c r="J52">
        <v>85</v>
      </c>
      <c r="K52" t="str">
        <f>IF(COUNTIFS($A$2:A52, A52, $C$2:C52, C52)&gt;1, "Duplicate", "Unique")</f>
        <v>Unique</v>
      </c>
      <c r="L52" t="str">
        <f t="shared" si="1"/>
        <v>Normal</v>
      </c>
      <c r="M52" t="str">
        <f t="shared" si="2"/>
        <v>Normal</v>
      </c>
      <c r="N52" s="55"/>
    </row>
    <row r="53" spans="1:14" x14ac:dyDescent="0.3">
      <c r="A53" t="s">
        <v>21</v>
      </c>
      <c r="B53" t="s">
        <v>22</v>
      </c>
      <c r="C53" s="2">
        <v>46086</v>
      </c>
      <c r="D53">
        <v>398</v>
      </c>
      <c r="E53">
        <v>122.4</v>
      </c>
      <c r="F53" s="8">
        <f t="shared" si="0"/>
        <v>3.2516339869281046</v>
      </c>
      <c r="G53">
        <v>0.9</v>
      </c>
      <c r="H53">
        <v>2</v>
      </c>
      <c r="I53">
        <v>70.2</v>
      </c>
      <c r="J53">
        <v>95.1</v>
      </c>
      <c r="K53" t="str">
        <f>IF(COUNTIFS($A$2:A53, A53, $C$2:C53, C53)&gt;1, "Duplicate", "Unique")</f>
        <v>Unique</v>
      </c>
      <c r="L53" t="str">
        <f t="shared" si="1"/>
        <v>Normal</v>
      </c>
      <c r="M53" t="str">
        <f t="shared" si="2"/>
        <v>Normal</v>
      </c>
      <c r="N53" s="55"/>
    </row>
    <row r="54" spans="1:14" x14ac:dyDescent="0.3">
      <c r="A54" t="s">
        <v>21</v>
      </c>
      <c r="B54" t="s">
        <v>22</v>
      </c>
      <c r="C54" s="2">
        <v>46074</v>
      </c>
      <c r="D54">
        <v>105.5</v>
      </c>
      <c r="E54">
        <v>26</v>
      </c>
      <c r="F54" s="8">
        <f t="shared" si="0"/>
        <v>4.0576923076923075</v>
      </c>
      <c r="G54">
        <v>1.4</v>
      </c>
      <c r="H54">
        <v>5</v>
      </c>
      <c r="I54">
        <v>44.7</v>
      </c>
      <c r="J54">
        <v>93.3</v>
      </c>
      <c r="K54" t="str">
        <f>IF(COUNTIFS($A$2:A54, A54, $C$2:C54, C54)&gt;1, "Duplicate", "Unique")</f>
        <v>Unique</v>
      </c>
      <c r="L54" t="str">
        <f t="shared" si="1"/>
        <v>Normal</v>
      </c>
      <c r="M54" t="str">
        <f t="shared" si="2"/>
        <v>Normal</v>
      </c>
      <c r="N54" s="55"/>
    </row>
    <row r="55" spans="1:14" x14ac:dyDescent="0.3">
      <c r="A55" t="s">
        <v>21</v>
      </c>
      <c r="B55" t="s">
        <v>22</v>
      </c>
      <c r="C55" s="2">
        <v>46087</v>
      </c>
      <c r="D55">
        <v>291.39999999999998</v>
      </c>
      <c r="E55">
        <v>69.5</v>
      </c>
      <c r="F55" s="8">
        <f t="shared" si="0"/>
        <v>4.1928057553956828</v>
      </c>
      <c r="G55">
        <v>2.7</v>
      </c>
      <c r="H55">
        <v>3</v>
      </c>
      <c r="I55">
        <v>35.4</v>
      </c>
      <c r="J55">
        <v>96.4</v>
      </c>
      <c r="K55" t="str">
        <f>IF(COUNTIFS($A$2:A55, A55, $C$2:C55, C55)&gt;1, "Duplicate", "Unique")</f>
        <v>Unique</v>
      </c>
      <c r="L55" t="str">
        <f t="shared" si="1"/>
        <v>Normal</v>
      </c>
      <c r="M55" t="str">
        <f t="shared" si="2"/>
        <v>Normal</v>
      </c>
      <c r="N55" s="55"/>
    </row>
    <row r="56" spans="1:14" x14ac:dyDescent="0.3">
      <c r="A56" t="s">
        <v>21</v>
      </c>
      <c r="B56" t="s">
        <v>22</v>
      </c>
      <c r="C56" s="2">
        <v>46054</v>
      </c>
      <c r="D56">
        <v>92.2</v>
      </c>
      <c r="E56">
        <v>31.4</v>
      </c>
      <c r="F56" s="8">
        <f t="shared" si="0"/>
        <v>2.9363057324840764</v>
      </c>
      <c r="G56">
        <v>1.7</v>
      </c>
      <c r="H56">
        <v>4</v>
      </c>
      <c r="I56">
        <v>42.3</v>
      </c>
      <c r="J56">
        <v>97.4</v>
      </c>
      <c r="K56" t="str">
        <f>IF(COUNTIFS($A$2:A56, A56, $C$2:C56, C56)&gt;1, "Duplicate", "Unique")</f>
        <v>Unique</v>
      </c>
      <c r="L56" t="str">
        <f t="shared" si="1"/>
        <v>Normal</v>
      </c>
      <c r="M56" t="str">
        <f t="shared" si="2"/>
        <v>Suspiciously Low Efficiency</v>
      </c>
      <c r="N56" s="55"/>
    </row>
    <row r="57" spans="1:14" x14ac:dyDescent="0.3">
      <c r="A57" t="s">
        <v>21</v>
      </c>
      <c r="B57" t="s">
        <v>22</v>
      </c>
      <c r="C57" s="2">
        <v>46099</v>
      </c>
      <c r="D57">
        <v>229.5</v>
      </c>
      <c r="E57">
        <v>62.7</v>
      </c>
      <c r="F57" s="8">
        <f t="shared" si="0"/>
        <v>3.6602870813397126</v>
      </c>
      <c r="G57">
        <v>0.8</v>
      </c>
      <c r="H57">
        <v>1</v>
      </c>
      <c r="I57">
        <v>59.5</v>
      </c>
      <c r="J57">
        <v>100</v>
      </c>
      <c r="K57" t="str">
        <f>IF(COUNTIFS($A$2:A57, A57, $C$2:C57, C57)&gt;1, "Duplicate", "Unique")</f>
        <v>Unique</v>
      </c>
      <c r="L57" t="str">
        <f t="shared" si="1"/>
        <v>Normal</v>
      </c>
      <c r="M57" t="str">
        <f t="shared" si="2"/>
        <v>Normal</v>
      </c>
      <c r="N57" s="55"/>
    </row>
    <row r="58" spans="1:14" x14ac:dyDescent="0.3">
      <c r="A58" t="s">
        <v>21</v>
      </c>
      <c r="B58" t="s">
        <v>22</v>
      </c>
      <c r="C58" s="2">
        <v>46093</v>
      </c>
      <c r="D58">
        <v>426.1</v>
      </c>
      <c r="E58">
        <v>84.1</v>
      </c>
      <c r="F58" s="8">
        <f t="shared" si="0"/>
        <v>5.0665873959571943</v>
      </c>
      <c r="G58">
        <v>2.2999999999999998</v>
      </c>
      <c r="H58">
        <v>3</v>
      </c>
      <c r="I58">
        <v>61.1</v>
      </c>
      <c r="J58">
        <v>87.6</v>
      </c>
      <c r="K58" t="str">
        <f>IF(COUNTIFS($A$2:A58, A58, $C$2:C58, C58)&gt;1, "Duplicate", "Unique")</f>
        <v>Unique</v>
      </c>
      <c r="L58" t="str">
        <f t="shared" si="1"/>
        <v>Normal</v>
      </c>
      <c r="M58" t="str">
        <f t="shared" si="2"/>
        <v>Normal</v>
      </c>
      <c r="N58" s="55"/>
    </row>
    <row r="59" spans="1:14" x14ac:dyDescent="0.3">
      <c r="A59" t="s">
        <v>21</v>
      </c>
      <c r="B59" t="s">
        <v>22</v>
      </c>
      <c r="C59" s="2">
        <v>46048</v>
      </c>
      <c r="D59">
        <v>178.8</v>
      </c>
      <c r="E59">
        <v>36.299999999999997</v>
      </c>
      <c r="F59" s="8">
        <f t="shared" si="0"/>
        <v>4.9256198347107443</v>
      </c>
      <c r="G59">
        <v>4.4000000000000004</v>
      </c>
      <c r="H59">
        <v>5</v>
      </c>
      <c r="I59">
        <v>36.6</v>
      </c>
      <c r="J59">
        <v>85.9</v>
      </c>
      <c r="K59" t="str">
        <f>IF(COUNTIFS($A$2:A59, A59, $C$2:C59, C59)&gt;1, "Duplicate", "Unique")</f>
        <v>Unique</v>
      </c>
      <c r="L59" t="str">
        <f t="shared" si="1"/>
        <v>Normal</v>
      </c>
      <c r="M59" t="str">
        <f t="shared" si="2"/>
        <v>Normal</v>
      </c>
      <c r="N59" s="55"/>
    </row>
    <row r="60" spans="1:14" x14ac:dyDescent="0.3">
      <c r="A60" t="s">
        <v>21</v>
      </c>
      <c r="B60" t="s">
        <v>22</v>
      </c>
      <c r="C60" s="2">
        <v>46108</v>
      </c>
      <c r="D60">
        <v>156.5</v>
      </c>
      <c r="E60">
        <v>29.8</v>
      </c>
      <c r="F60" s="8">
        <f t="shared" si="0"/>
        <v>5.2516778523489931</v>
      </c>
      <c r="G60">
        <v>1.8</v>
      </c>
      <c r="H60">
        <v>8</v>
      </c>
      <c r="I60">
        <v>71.3</v>
      </c>
      <c r="J60">
        <v>98.2</v>
      </c>
      <c r="K60" t="str">
        <f>IF(COUNTIFS($A$2:A60, A60, $C$2:C60, C60)&gt;1, "Duplicate", "Unique")</f>
        <v>Unique</v>
      </c>
      <c r="L60" t="str">
        <f t="shared" si="1"/>
        <v>Normal</v>
      </c>
      <c r="M60" t="str">
        <f t="shared" si="2"/>
        <v>Normal</v>
      </c>
      <c r="N60" s="55"/>
    </row>
    <row r="61" spans="1:14" x14ac:dyDescent="0.3">
      <c r="A61" t="s">
        <v>21</v>
      </c>
      <c r="B61" t="s">
        <v>22</v>
      </c>
      <c r="C61" s="2">
        <v>46106</v>
      </c>
      <c r="D61">
        <v>199.9</v>
      </c>
      <c r="E61">
        <v>42.5</v>
      </c>
      <c r="F61" s="8">
        <f t="shared" si="0"/>
        <v>4.7035294117647064</v>
      </c>
      <c r="G61">
        <v>2.4</v>
      </c>
      <c r="H61">
        <v>5</v>
      </c>
      <c r="I61">
        <v>67.599999999999994</v>
      </c>
      <c r="J61">
        <v>88.9</v>
      </c>
      <c r="K61" t="str">
        <f>IF(COUNTIFS($A$2:A61, A61, $C$2:C61, C61)&gt;1, "Duplicate", "Unique")</f>
        <v>Unique</v>
      </c>
      <c r="L61" t="str">
        <f t="shared" si="1"/>
        <v>Normal</v>
      </c>
      <c r="M61" t="str">
        <f t="shared" si="2"/>
        <v>Normal</v>
      </c>
      <c r="N61" s="55"/>
    </row>
    <row r="62" spans="1:14" x14ac:dyDescent="0.3">
      <c r="A62" t="s">
        <v>21</v>
      </c>
      <c r="B62" t="s">
        <v>22</v>
      </c>
      <c r="C62" s="2">
        <v>46112</v>
      </c>
      <c r="D62">
        <v>276</v>
      </c>
      <c r="E62">
        <v>80.7</v>
      </c>
      <c r="F62" s="8">
        <f t="shared" si="0"/>
        <v>3.4200743494423791</v>
      </c>
      <c r="G62">
        <v>3.6</v>
      </c>
      <c r="H62">
        <v>7</v>
      </c>
      <c r="I62">
        <v>45.8</v>
      </c>
      <c r="J62">
        <v>97.1</v>
      </c>
      <c r="K62" t="str">
        <f>IF(COUNTIFS($A$2:A62, A62, $C$2:C62, C62)&gt;1, "Duplicate", "Unique")</f>
        <v>Unique</v>
      </c>
      <c r="L62" t="str">
        <f t="shared" si="1"/>
        <v>Normal</v>
      </c>
      <c r="M62" t="str">
        <f t="shared" si="2"/>
        <v>Normal</v>
      </c>
      <c r="N62" s="55"/>
    </row>
    <row r="63" spans="1:14" x14ac:dyDescent="0.3">
      <c r="A63" t="s">
        <v>21</v>
      </c>
      <c r="B63" t="s">
        <v>22</v>
      </c>
      <c r="C63" s="2">
        <v>46050</v>
      </c>
      <c r="D63">
        <v>381.1</v>
      </c>
      <c r="E63">
        <v>93.3</v>
      </c>
      <c r="F63" s="8">
        <f t="shared" si="0"/>
        <v>4.084673097534834</v>
      </c>
      <c r="G63">
        <v>2.9</v>
      </c>
      <c r="H63">
        <v>8</v>
      </c>
      <c r="I63">
        <v>63.5</v>
      </c>
      <c r="J63">
        <v>88.9</v>
      </c>
      <c r="K63" t="str">
        <f>IF(COUNTIFS($A$2:A63, A63, $C$2:C63, C63)&gt;1, "Duplicate", "Unique")</f>
        <v>Unique</v>
      </c>
      <c r="L63" t="str">
        <f t="shared" si="1"/>
        <v>Normal</v>
      </c>
      <c r="M63" t="str">
        <f t="shared" si="2"/>
        <v>Normal</v>
      </c>
      <c r="N63" s="55"/>
    </row>
    <row r="64" spans="1:14" x14ac:dyDescent="0.3">
      <c r="A64" t="s">
        <v>21</v>
      </c>
      <c r="B64" t="s">
        <v>22</v>
      </c>
      <c r="C64" s="2">
        <v>46039</v>
      </c>
      <c r="D64">
        <v>146.1</v>
      </c>
      <c r="E64">
        <v>50.7</v>
      </c>
      <c r="F64" s="8">
        <f t="shared" si="0"/>
        <v>2.8816568047337277</v>
      </c>
      <c r="G64">
        <v>0.7</v>
      </c>
      <c r="H64">
        <v>4</v>
      </c>
      <c r="I64">
        <v>34.4</v>
      </c>
      <c r="J64">
        <v>93.6</v>
      </c>
      <c r="K64" t="str">
        <f>IF(COUNTIFS($A$2:A64, A64, $C$2:C64, C64)&gt;1, "Duplicate", "Unique")</f>
        <v>Unique</v>
      </c>
      <c r="L64" t="str">
        <f t="shared" si="1"/>
        <v>Normal</v>
      </c>
      <c r="M64" t="str">
        <f t="shared" si="2"/>
        <v>Suspiciously Low Efficiency</v>
      </c>
      <c r="N64" s="55"/>
    </row>
    <row r="65" spans="1:14" x14ac:dyDescent="0.3">
      <c r="A65" t="s">
        <v>21</v>
      </c>
      <c r="B65" t="s">
        <v>22</v>
      </c>
      <c r="C65" s="2">
        <v>46032</v>
      </c>
      <c r="D65">
        <v>388.7</v>
      </c>
      <c r="E65">
        <v>129.1</v>
      </c>
      <c r="F65" s="8">
        <f t="shared" si="0"/>
        <v>3.0108443067389623</v>
      </c>
      <c r="G65">
        <v>1.1000000000000001</v>
      </c>
      <c r="H65">
        <v>2</v>
      </c>
      <c r="I65">
        <v>34.6</v>
      </c>
      <c r="J65">
        <v>88.5</v>
      </c>
      <c r="K65" t="str">
        <f>IF(COUNTIFS($A$2:A65, A65, $C$2:C65, C65)&gt;1, "Duplicate", "Unique")</f>
        <v>Duplicate</v>
      </c>
      <c r="L65" t="str">
        <f t="shared" si="1"/>
        <v>Normal</v>
      </c>
      <c r="M65" t="str">
        <f t="shared" si="2"/>
        <v>Normal</v>
      </c>
      <c r="N65" s="55"/>
    </row>
    <row r="66" spans="1:14" x14ac:dyDescent="0.3">
      <c r="A66" t="s">
        <v>21</v>
      </c>
      <c r="B66" t="s">
        <v>22</v>
      </c>
      <c r="C66" s="2">
        <v>46059</v>
      </c>
      <c r="D66">
        <v>300.39999999999998</v>
      </c>
      <c r="E66">
        <v>71.599999999999994</v>
      </c>
      <c r="F66" s="8">
        <f t="shared" si="0"/>
        <v>4.1955307262569832</v>
      </c>
      <c r="G66">
        <v>4.5</v>
      </c>
      <c r="H66">
        <v>5</v>
      </c>
      <c r="I66">
        <v>30.3</v>
      </c>
      <c r="J66">
        <v>99.8</v>
      </c>
      <c r="K66" t="str">
        <f>IF(COUNTIFS($A$2:A66, A66, $C$2:C66, C66)&gt;1, "Duplicate", "Unique")</f>
        <v>Unique</v>
      </c>
      <c r="L66" t="str">
        <f t="shared" si="1"/>
        <v>Normal</v>
      </c>
      <c r="M66" t="str">
        <f t="shared" si="2"/>
        <v>Normal</v>
      </c>
      <c r="N66" s="55"/>
    </row>
    <row r="67" spans="1:14" x14ac:dyDescent="0.3">
      <c r="A67" t="s">
        <v>21</v>
      </c>
      <c r="B67" t="s">
        <v>22</v>
      </c>
      <c r="C67" s="2">
        <v>46054</v>
      </c>
      <c r="D67">
        <v>271.89999999999998</v>
      </c>
      <c r="E67">
        <v>70.3</v>
      </c>
      <c r="F67" s="8">
        <f t="shared" ref="F67:F130" si="3">IFERROR(D67/E67,0)</f>
        <v>3.8677098150782361</v>
      </c>
      <c r="G67">
        <v>3.4</v>
      </c>
      <c r="H67">
        <v>7</v>
      </c>
      <c r="I67">
        <v>53.2</v>
      </c>
      <c r="J67">
        <v>94.5</v>
      </c>
      <c r="K67" t="str">
        <f>IF(COUNTIFS($A$2:A67, A67, $C$2:C67, C67)&gt;1, "Duplicate", "Unique")</f>
        <v>Duplicate</v>
      </c>
      <c r="L67" t="str">
        <f t="shared" ref="L67:L130" si="4">IF(G67 &gt; (AVERAGE($G$2:$G$811) + (3 * _xlfn.STDEV.P($G$2:$G$811))), "Extreme Idle Outlier", "Normal")</f>
        <v>Normal</v>
      </c>
      <c r="M67" t="str">
        <f t="shared" ref="M67:M130" si="5">IFERROR(IF((D67 / E67) &lt; 3, "Suspiciously Low Efficiency", "Normal"),0)</f>
        <v>Normal</v>
      </c>
      <c r="N67" s="55"/>
    </row>
    <row r="68" spans="1:14" x14ac:dyDescent="0.3">
      <c r="A68" t="s">
        <v>21</v>
      </c>
      <c r="B68" t="s">
        <v>22</v>
      </c>
      <c r="C68" s="2">
        <v>46047</v>
      </c>
      <c r="D68">
        <v>187.7</v>
      </c>
      <c r="E68">
        <v>48.4</v>
      </c>
      <c r="F68" s="8">
        <f t="shared" si="3"/>
        <v>3.8780991735537187</v>
      </c>
      <c r="G68">
        <v>1.5</v>
      </c>
      <c r="H68">
        <v>5</v>
      </c>
      <c r="I68">
        <v>50.8</v>
      </c>
      <c r="J68">
        <v>91.3</v>
      </c>
      <c r="K68" t="str">
        <f>IF(COUNTIFS($A$2:A68, A68, $C$2:C68, C68)&gt;1, "Duplicate", "Unique")</f>
        <v>Unique</v>
      </c>
      <c r="L68" t="str">
        <f t="shared" si="4"/>
        <v>Normal</v>
      </c>
      <c r="M68" t="str">
        <f t="shared" si="5"/>
        <v>Normal</v>
      </c>
      <c r="N68" s="55"/>
    </row>
    <row r="69" spans="1:14" x14ac:dyDescent="0.3">
      <c r="A69" t="s">
        <v>21</v>
      </c>
      <c r="B69" t="s">
        <v>22</v>
      </c>
      <c r="C69" s="2">
        <v>46066</v>
      </c>
      <c r="D69">
        <v>444.1</v>
      </c>
      <c r="E69">
        <v>82.1</v>
      </c>
      <c r="F69" s="8">
        <f t="shared" si="3"/>
        <v>5.4092570036540808</v>
      </c>
      <c r="G69">
        <v>2.8</v>
      </c>
      <c r="H69">
        <v>3</v>
      </c>
      <c r="I69">
        <v>67.7</v>
      </c>
      <c r="J69">
        <v>96.3</v>
      </c>
      <c r="K69" t="str">
        <f>IF(COUNTIFS($A$2:A69, A69, $C$2:C69, C69)&gt;1, "Duplicate", "Unique")</f>
        <v>Unique</v>
      </c>
      <c r="L69" t="str">
        <f t="shared" si="4"/>
        <v>Normal</v>
      </c>
      <c r="M69" t="str">
        <f t="shared" si="5"/>
        <v>Normal</v>
      </c>
      <c r="N69" s="55"/>
    </row>
    <row r="70" spans="1:14" x14ac:dyDescent="0.3">
      <c r="A70" t="s">
        <v>21</v>
      </c>
      <c r="B70" t="s">
        <v>22</v>
      </c>
      <c r="C70" s="2">
        <v>46105</v>
      </c>
      <c r="D70">
        <v>177.8</v>
      </c>
      <c r="E70">
        <v>35.5</v>
      </c>
      <c r="F70" s="8">
        <f t="shared" si="3"/>
        <v>5.0084507042253525</v>
      </c>
      <c r="G70">
        <v>0.4</v>
      </c>
      <c r="H70">
        <v>8</v>
      </c>
      <c r="I70">
        <v>47.9</v>
      </c>
      <c r="J70">
        <v>89.5</v>
      </c>
      <c r="K70" t="str">
        <f>IF(COUNTIFS($A$2:A70, A70, $C$2:C70, C70)&gt;1, "Duplicate", "Unique")</f>
        <v>Duplicate</v>
      </c>
      <c r="L70" t="str">
        <f t="shared" si="4"/>
        <v>Normal</v>
      </c>
      <c r="M70" t="str">
        <f t="shared" si="5"/>
        <v>Normal</v>
      </c>
      <c r="N70" s="55"/>
    </row>
    <row r="71" spans="1:14" x14ac:dyDescent="0.3">
      <c r="A71" t="s">
        <v>21</v>
      </c>
      <c r="B71" t="s">
        <v>22</v>
      </c>
      <c r="C71" s="2">
        <v>46029</v>
      </c>
      <c r="D71">
        <v>318.60000000000002</v>
      </c>
      <c r="E71">
        <v>89.3</v>
      </c>
      <c r="F71" s="8">
        <f t="shared" si="3"/>
        <v>3.5677491601343787</v>
      </c>
      <c r="G71">
        <v>2.1</v>
      </c>
      <c r="H71">
        <v>6</v>
      </c>
      <c r="I71">
        <v>57.8</v>
      </c>
      <c r="J71">
        <v>98.4</v>
      </c>
      <c r="K71" t="str">
        <f>IF(COUNTIFS($A$2:A71, A71, $C$2:C71, C71)&gt;1, "Duplicate", "Unique")</f>
        <v>Unique</v>
      </c>
      <c r="L71" t="str">
        <f t="shared" si="4"/>
        <v>Normal</v>
      </c>
      <c r="M71" t="str">
        <f t="shared" si="5"/>
        <v>Normal</v>
      </c>
      <c r="N71" s="55"/>
    </row>
    <row r="72" spans="1:14" x14ac:dyDescent="0.3">
      <c r="A72" t="s">
        <v>21</v>
      </c>
      <c r="B72" t="s">
        <v>22</v>
      </c>
      <c r="C72" s="2">
        <v>46060</v>
      </c>
      <c r="D72">
        <v>187.9</v>
      </c>
      <c r="E72">
        <v>41.5</v>
      </c>
      <c r="F72" s="8">
        <f t="shared" si="3"/>
        <v>4.5277108433734945</v>
      </c>
      <c r="G72">
        <v>0.5</v>
      </c>
      <c r="H72">
        <v>4</v>
      </c>
      <c r="I72">
        <v>64.5</v>
      </c>
      <c r="J72">
        <v>87.7</v>
      </c>
      <c r="K72" t="str">
        <f>IF(COUNTIFS($A$2:A72, A72, $C$2:C72, C72)&gt;1, "Duplicate", "Unique")</f>
        <v>Unique</v>
      </c>
      <c r="L72" t="str">
        <f t="shared" si="4"/>
        <v>Normal</v>
      </c>
      <c r="M72" t="str">
        <f t="shared" si="5"/>
        <v>Normal</v>
      </c>
      <c r="N72" s="55"/>
    </row>
    <row r="73" spans="1:14" x14ac:dyDescent="0.3">
      <c r="A73" t="s">
        <v>21</v>
      </c>
      <c r="B73" t="s">
        <v>22</v>
      </c>
      <c r="C73" s="2">
        <v>46024</v>
      </c>
      <c r="D73">
        <v>150</v>
      </c>
      <c r="E73">
        <v>25</v>
      </c>
      <c r="F73" s="8">
        <f t="shared" si="3"/>
        <v>6</v>
      </c>
      <c r="G73">
        <v>12</v>
      </c>
      <c r="H73">
        <v>3</v>
      </c>
      <c r="I73">
        <v>20</v>
      </c>
      <c r="J73">
        <v>92</v>
      </c>
      <c r="K73" t="str">
        <f>IF(COUNTIFS($A$2:A73, A73, $C$2:C73, C73)&gt;1, "Duplicate", "Unique")</f>
        <v>Unique</v>
      </c>
      <c r="L73" t="str">
        <f t="shared" si="4"/>
        <v>Extreme Idle Outlier</v>
      </c>
      <c r="M73" t="str">
        <f t="shared" si="5"/>
        <v>Normal</v>
      </c>
      <c r="N73" s="55"/>
    </row>
    <row r="74" spans="1:14" x14ac:dyDescent="0.3">
      <c r="A74" t="s">
        <v>11</v>
      </c>
      <c r="B74" t="s">
        <v>12</v>
      </c>
      <c r="C74" s="2">
        <v>46098</v>
      </c>
      <c r="D74">
        <v>236.1</v>
      </c>
      <c r="E74">
        <v>82</v>
      </c>
      <c r="F74" s="8">
        <f t="shared" si="3"/>
        <v>2.8792682926829269</v>
      </c>
      <c r="G74">
        <v>1.1000000000000001</v>
      </c>
      <c r="H74">
        <v>1</v>
      </c>
      <c r="I74">
        <v>55.3</v>
      </c>
      <c r="J74">
        <v>95.7</v>
      </c>
      <c r="K74" t="str">
        <f>IF(COUNTIFS($A$2:A74, A74, $C$2:C74, C74)&gt;1, "Duplicate", "Unique")</f>
        <v>Unique</v>
      </c>
      <c r="L74" t="str">
        <f t="shared" si="4"/>
        <v>Normal</v>
      </c>
      <c r="M74" t="str">
        <f t="shared" si="5"/>
        <v>Suspiciously Low Efficiency</v>
      </c>
      <c r="N74" s="55"/>
    </row>
    <row r="75" spans="1:14" x14ac:dyDescent="0.3">
      <c r="A75" t="s">
        <v>11</v>
      </c>
      <c r="B75" t="s">
        <v>12</v>
      </c>
      <c r="C75" s="2">
        <v>46104</v>
      </c>
      <c r="D75">
        <v>236.7</v>
      </c>
      <c r="E75">
        <v>66.7</v>
      </c>
      <c r="F75" s="8">
        <f t="shared" si="3"/>
        <v>3.5487256371814091</v>
      </c>
      <c r="G75">
        <v>0.2</v>
      </c>
      <c r="H75">
        <v>3</v>
      </c>
      <c r="I75">
        <v>58.7</v>
      </c>
      <c r="J75">
        <v>88.9</v>
      </c>
      <c r="K75" t="str">
        <f>IF(COUNTIFS($A$2:A75, A75, $C$2:C75, C75)&gt;1, "Duplicate", "Unique")</f>
        <v>Unique</v>
      </c>
      <c r="L75" t="str">
        <f t="shared" si="4"/>
        <v>Normal</v>
      </c>
      <c r="M75" t="str">
        <f t="shared" si="5"/>
        <v>Normal</v>
      </c>
      <c r="N75" s="55"/>
    </row>
    <row r="76" spans="1:14" x14ac:dyDescent="0.3">
      <c r="A76" t="s">
        <v>11</v>
      </c>
      <c r="B76" t="s">
        <v>12</v>
      </c>
      <c r="C76" s="2">
        <v>46081</v>
      </c>
      <c r="D76">
        <v>233.3</v>
      </c>
      <c r="E76">
        <v>51.8</v>
      </c>
      <c r="F76" s="8">
        <f t="shared" si="3"/>
        <v>4.5038610038610045</v>
      </c>
      <c r="G76">
        <v>1</v>
      </c>
      <c r="H76">
        <v>7</v>
      </c>
      <c r="I76">
        <v>52.2</v>
      </c>
      <c r="J76">
        <v>88.7</v>
      </c>
      <c r="K76" t="str">
        <f>IF(COUNTIFS($A$2:A76, A76, $C$2:C76, C76)&gt;1, "Duplicate", "Unique")</f>
        <v>Unique</v>
      </c>
      <c r="L76" t="str">
        <f t="shared" si="4"/>
        <v>Normal</v>
      </c>
      <c r="M76" t="str">
        <f t="shared" si="5"/>
        <v>Normal</v>
      </c>
      <c r="N76" s="55"/>
    </row>
    <row r="77" spans="1:14" x14ac:dyDescent="0.3">
      <c r="A77" t="s">
        <v>11</v>
      </c>
      <c r="B77" t="s">
        <v>12</v>
      </c>
      <c r="C77" s="2">
        <v>46059</v>
      </c>
      <c r="D77">
        <v>166.8</v>
      </c>
      <c r="E77">
        <v>45</v>
      </c>
      <c r="F77" s="8">
        <f t="shared" si="3"/>
        <v>3.706666666666667</v>
      </c>
      <c r="G77">
        <v>4</v>
      </c>
      <c r="H77">
        <v>2</v>
      </c>
      <c r="I77">
        <v>36.200000000000003</v>
      </c>
      <c r="J77">
        <v>88.5</v>
      </c>
      <c r="K77" t="str">
        <f>IF(COUNTIFS($A$2:A77, A77, $C$2:C77, C77)&gt;1, "Duplicate", "Unique")</f>
        <v>Unique</v>
      </c>
      <c r="L77" t="str">
        <f t="shared" si="4"/>
        <v>Normal</v>
      </c>
      <c r="M77" t="str">
        <f t="shared" si="5"/>
        <v>Normal</v>
      </c>
      <c r="N77" s="55"/>
    </row>
    <row r="78" spans="1:14" x14ac:dyDescent="0.3">
      <c r="A78" t="s">
        <v>11</v>
      </c>
      <c r="B78" t="s">
        <v>12</v>
      </c>
      <c r="C78" s="2">
        <v>46106</v>
      </c>
      <c r="D78">
        <v>94.9</v>
      </c>
      <c r="E78">
        <v>32.9</v>
      </c>
      <c r="F78" s="8">
        <f t="shared" si="3"/>
        <v>2.8844984802431615</v>
      </c>
      <c r="G78">
        <v>1.3</v>
      </c>
      <c r="H78">
        <v>1</v>
      </c>
      <c r="I78">
        <v>58</v>
      </c>
      <c r="J78">
        <v>88.6</v>
      </c>
      <c r="K78" t="str">
        <f>IF(COUNTIFS($A$2:A78, A78, $C$2:C78, C78)&gt;1, "Duplicate", "Unique")</f>
        <v>Unique</v>
      </c>
      <c r="L78" t="str">
        <f t="shared" si="4"/>
        <v>Normal</v>
      </c>
      <c r="M78" t="str">
        <f t="shared" si="5"/>
        <v>Suspiciously Low Efficiency</v>
      </c>
      <c r="N78" s="55"/>
    </row>
    <row r="79" spans="1:14" x14ac:dyDescent="0.3">
      <c r="A79" t="s">
        <v>11</v>
      </c>
      <c r="B79" t="s">
        <v>12</v>
      </c>
      <c r="C79" s="2">
        <v>46099</v>
      </c>
      <c r="D79">
        <v>94.7</v>
      </c>
      <c r="E79">
        <v>23.9</v>
      </c>
      <c r="F79" s="8">
        <f t="shared" si="3"/>
        <v>3.96234309623431</v>
      </c>
      <c r="G79">
        <v>1.6</v>
      </c>
      <c r="H79">
        <v>5</v>
      </c>
      <c r="I79">
        <v>31.2</v>
      </c>
      <c r="J79">
        <v>88.4</v>
      </c>
      <c r="K79" t="str">
        <f>IF(COUNTIFS($A$2:A79, A79, $C$2:C79, C79)&gt;1, "Duplicate", "Unique")</f>
        <v>Unique</v>
      </c>
      <c r="L79" t="str">
        <f t="shared" si="4"/>
        <v>Normal</v>
      </c>
      <c r="M79" t="str">
        <f t="shared" si="5"/>
        <v>Normal</v>
      </c>
      <c r="N79" s="55"/>
    </row>
    <row r="80" spans="1:14" x14ac:dyDescent="0.3">
      <c r="A80" t="s">
        <v>11</v>
      </c>
      <c r="B80" t="s">
        <v>12</v>
      </c>
      <c r="C80" s="2">
        <v>46083</v>
      </c>
      <c r="D80">
        <v>208.7</v>
      </c>
      <c r="E80">
        <v>56.4</v>
      </c>
      <c r="F80" s="8">
        <f t="shared" si="3"/>
        <v>3.7003546099290778</v>
      </c>
      <c r="G80">
        <v>3.1</v>
      </c>
      <c r="H80">
        <v>3</v>
      </c>
      <c r="I80">
        <v>44.8</v>
      </c>
      <c r="J80">
        <v>95.4</v>
      </c>
      <c r="K80" t="str">
        <f>IF(COUNTIFS($A$2:A80, A80, $C$2:C80, C80)&gt;1, "Duplicate", "Unique")</f>
        <v>Unique</v>
      </c>
      <c r="L80" t="str">
        <f t="shared" si="4"/>
        <v>Normal</v>
      </c>
      <c r="M80" t="str">
        <f t="shared" si="5"/>
        <v>Normal</v>
      </c>
      <c r="N80" s="55"/>
    </row>
    <row r="81" spans="1:14" x14ac:dyDescent="0.3">
      <c r="A81" t="s">
        <v>11</v>
      </c>
      <c r="B81" t="s">
        <v>12</v>
      </c>
      <c r="C81" s="2">
        <v>46083</v>
      </c>
      <c r="D81">
        <v>369.2</v>
      </c>
      <c r="E81">
        <v>105</v>
      </c>
      <c r="F81" s="8">
        <f t="shared" si="3"/>
        <v>3.5161904761904759</v>
      </c>
      <c r="G81">
        <v>2.9</v>
      </c>
      <c r="H81">
        <v>7</v>
      </c>
      <c r="I81">
        <v>59.2</v>
      </c>
      <c r="J81">
        <v>97.8</v>
      </c>
      <c r="K81" t="str">
        <f>IF(COUNTIFS($A$2:A81, A81, $C$2:C81, C81)&gt;1, "Duplicate", "Unique")</f>
        <v>Duplicate</v>
      </c>
      <c r="L81" t="str">
        <f t="shared" si="4"/>
        <v>Normal</v>
      </c>
      <c r="M81" t="str">
        <f t="shared" si="5"/>
        <v>Normal</v>
      </c>
      <c r="N81" s="55"/>
    </row>
    <row r="82" spans="1:14" x14ac:dyDescent="0.3">
      <c r="A82" t="s">
        <v>11</v>
      </c>
      <c r="B82" t="s">
        <v>12</v>
      </c>
      <c r="C82" s="2">
        <v>46053</v>
      </c>
      <c r="D82">
        <v>313.5</v>
      </c>
      <c r="E82">
        <v>59.3</v>
      </c>
      <c r="F82" s="8">
        <f t="shared" si="3"/>
        <v>5.2866779089376053</v>
      </c>
      <c r="G82">
        <v>4.5</v>
      </c>
      <c r="H82">
        <v>2</v>
      </c>
      <c r="I82">
        <v>49.5</v>
      </c>
      <c r="J82">
        <v>86.5</v>
      </c>
      <c r="K82" t="str">
        <f>IF(COUNTIFS($A$2:A82, A82, $C$2:C82, C82)&gt;1, "Duplicate", "Unique")</f>
        <v>Unique</v>
      </c>
      <c r="L82" t="str">
        <f t="shared" si="4"/>
        <v>Normal</v>
      </c>
      <c r="M82" t="str">
        <f t="shared" si="5"/>
        <v>Normal</v>
      </c>
      <c r="N82" s="55"/>
    </row>
    <row r="83" spans="1:14" x14ac:dyDescent="0.3">
      <c r="A83" t="s">
        <v>11</v>
      </c>
      <c r="B83" t="s">
        <v>12</v>
      </c>
      <c r="C83" s="2">
        <v>46078</v>
      </c>
      <c r="D83">
        <v>115.7</v>
      </c>
      <c r="E83">
        <v>24.1</v>
      </c>
      <c r="F83" s="8">
        <f t="shared" si="3"/>
        <v>4.800829875518672</v>
      </c>
      <c r="G83">
        <v>3.7</v>
      </c>
      <c r="H83">
        <v>1</v>
      </c>
      <c r="I83">
        <v>56.4</v>
      </c>
      <c r="J83">
        <v>93.4</v>
      </c>
      <c r="K83" t="str">
        <f>IF(COUNTIFS($A$2:A83, A83, $C$2:C83, C83)&gt;1, "Duplicate", "Unique")</f>
        <v>Unique</v>
      </c>
      <c r="L83" t="str">
        <f t="shared" si="4"/>
        <v>Normal</v>
      </c>
      <c r="M83" t="str">
        <f t="shared" si="5"/>
        <v>Normal</v>
      </c>
      <c r="N83" s="55"/>
    </row>
    <row r="84" spans="1:14" x14ac:dyDescent="0.3">
      <c r="A84" t="s">
        <v>11</v>
      </c>
      <c r="B84" t="s">
        <v>12</v>
      </c>
      <c r="C84" s="2">
        <v>46078</v>
      </c>
      <c r="D84">
        <v>392.5</v>
      </c>
      <c r="E84">
        <v>113.5</v>
      </c>
      <c r="F84" s="8">
        <f t="shared" si="3"/>
        <v>3.4581497797356828</v>
      </c>
      <c r="G84">
        <v>2.7</v>
      </c>
      <c r="H84">
        <v>2</v>
      </c>
      <c r="I84">
        <v>47.8</v>
      </c>
      <c r="J84">
        <v>89.7</v>
      </c>
      <c r="K84" t="str">
        <f>IF(COUNTIFS($A$2:A84, A84, $C$2:C84, C84)&gt;1, "Duplicate", "Unique")</f>
        <v>Duplicate</v>
      </c>
      <c r="L84" t="str">
        <f t="shared" si="4"/>
        <v>Normal</v>
      </c>
      <c r="M84" t="str">
        <f t="shared" si="5"/>
        <v>Normal</v>
      </c>
      <c r="N84" s="55"/>
    </row>
    <row r="85" spans="1:14" x14ac:dyDescent="0.3">
      <c r="A85" t="s">
        <v>11</v>
      </c>
      <c r="B85" t="s">
        <v>12</v>
      </c>
      <c r="C85" s="2">
        <v>46062</v>
      </c>
      <c r="D85">
        <v>250.8</v>
      </c>
      <c r="E85">
        <v>86.4</v>
      </c>
      <c r="F85" s="8">
        <f t="shared" si="3"/>
        <v>2.9027777777777777</v>
      </c>
      <c r="G85">
        <v>1.8</v>
      </c>
      <c r="H85">
        <v>5</v>
      </c>
      <c r="I85">
        <v>33.5</v>
      </c>
      <c r="J85">
        <v>98</v>
      </c>
      <c r="K85" t="str">
        <f>IF(COUNTIFS($A$2:A85, A85, $C$2:C85, C85)&gt;1, "Duplicate", "Unique")</f>
        <v>Unique</v>
      </c>
      <c r="L85" t="str">
        <f t="shared" si="4"/>
        <v>Normal</v>
      </c>
      <c r="M85" t="str">
        <f t="shared" si="5"/>
        <v>Suspiciously Low Efficiency</v>
      </c>
      <c r="N85" s="55"/>
    </row>
    <row r="86" spans="1:14" x14ac:dyDescent="0.3">
      <c r="A86" t="s">
        <v>11</v>
      </c>
      <c r="B86" t="s">
        <v>12</v>
      </c>
      <c r="C86" s="2">
        <v>46101</v>
      </c>
      <c r="D86">
        <v>299.8</v>
      </c>
      <c r="E86">
        <v>78.099999999999994</v>
      </c>
      <c r="F86" s="8">
        <f t="shared" si="3"/>
        <v>3.8386683738796421</v>
      </c>
      <c r="G86">
        <v>2.7</v>
      </c>
      <c r="H86">
        <v>1</v>
      </c>
      <c r="I86">
        <v>50.2</v>
      </c>
      <c r="J86">
        <v>97.1</v>
      </c>
      <c r="K86" t="str">
        <f>IF(COUNTIFS($A$2:A86, A86, $C$2:C86, C86)&gt;1, "Duplicate", "Unique")</f>
        <v>Unique</v>
      </c>
      <c r="L86" t="str">
        <f t="shared" si="4"/>
        <v>Normal</v>
      </c>
      <c r="M86" t="str">
        <f t="shared" si="5"/>
        <v>Normal</v>
      </c>
      <c r="N86" s="55"/>
    </row>
    <row r="87" spans="1:14" x14ac:dyDescent="0.3">
      <c r="A87" t="s">
        <v>11</v>
      </c>
      <c r="B87" t="s">
        <v>12</v>
      </c>
      <c r="C87" s="2">
        <v>46064</v>
      </c>
      <c r="D87">
        <v>324.5</v>
      </c>
      <c r="E87">
        <v>89.5</v>
      </c>
      <c r="F87" s="8">
        <f t="shared" si="3"/>
        <v>3.6256983240223462</v>
      </c>
      <c r="G87">
        <v>2.8</v>
      </c>
      <c r="H87">
        <v>7</v>
      </c>
      <c r="I87">
        <v>37.5</v>
      </c>
      <c r="J87">
        <v>91.7</v>
      </c>
      <c r="K87" t="str">
        <f>IF(COUNTIFS($A$2:A87, A87, $C$2:C87, C87)&gt;1, "Duplicate", "Unique")</f>
        <v>Unique</v>
      </c>
      <c r="L87" t="str">
        <f t="shared" si="4"/>
        <v>Normal</v>
      </c>
      <c r="M87" t="str">
        <f t="shared" si="5"/>
        <v>Normal</v>
      </c>
      <c r="N87" s="55"/>
    </row>
    <row r="88" spans="1:14" x14ac:dyDescent="0.3">
      <c r="A88" t="s">
        <v>11</v>
      </c>
      <c r="B88" t="s">
        <v>12</v>
      </c>
      <c r="C88" s="2">
        <v>46067</v>
      </c>
      <c r="D88">
        <v>421.9</v>
      </c>
      <c r="E88">
        <v>92.3</v>
      </c>
      <c r="F88" s="8">
        <f t="shared" si="3"/>
        <v>4.5709642470205853</v>
      </c>
      <c r="G88">
        <v>3.4</v>
      </c>
      <c r="H88">
        <v>4</v>
      </c>
      <c r="I88">
        <v>39.1</v>
      </c>
      <c r="J88">
        <v>93.1</v>
      </c>
      <c r="K88" t="str">
        <f>IF(COUNTIFS($A$2:A88, A88, $C$2:C88, C88)&gt;1, "Duplicate", "Unique")</f>
        <v>Unique</v>
      </c>
      <c r="L88" t="str">
        <f t="shared" si="4"/>
        <v>Normal</v>
      </c>
      <c r="M88" t="str">
        <f t="shared" si="5"/>
        <v>Normal</v>
      </c>
      <c r="N88" s="55"/>
    </row>
    <row r="89" spans="1:14" x14ac:dyDescent="0.3">
      <c r="A89" t="s">
        <v>11</v>
      </c>
      <c r="B89" t="s">
        <v>12</v>
      </c>
      <c r="C89" s="2">
        <v>46092</v>
      </c>
      <c r="D89">
        <v>447.8</v>
      </c>
      <c r="E89">
        <v>84.1</v>
      </c>
      <c r="F89" s="8">
        <f t="shared" si="3"/>
        <v>5.3246135552913207</v>
      </c>
      <c r="G89">
        <v>0.5</v>
      </c>
      <c r="H89">
        <v>8</v>
      </c>
      <c r="I89">
        <v>31.4</v>
      </c>
      <c r="J89">
        <v>91.1</v>
      </c>
      <c r="K89" t="str">
        <f>IF(COUNTIFS($A$2:A89, A89, $C$2:C89, C89)&gt;1, "Duplicate", "Unique")</f>
        <v>Unique</v>
      </c>
      <c r="L89" t="str">
        <f t="shared" si="4"/>
        <v>Normal</v>
      </c>
      <c r="M89" t="str">
        <f t="shared" si="5"/>
        <v>Normal</v>
      </c>
      <c r="N89" s="55"/>
    </row>
    <row r="90" spans="1:14" x14ac:dyDescent="0.3">
      <c r="A90" t="s">
        <v>11</v>
      </c>
      <c r="B90" t="s">
        <v>12</v>
      </c>
      <c r="C90" s="2">
        <v>46106</v>
      </c>
      <c r="D90">
        <v>446.9</v>
      </c>
      <c r="E90">
        <v>98.1</v>
      </c>
      <c r="F90" s="8">
        <f t="shared" si="3"/>
        <v>4.5555555555555554</v>
      </c>
      <c r="G90">
        <v>0.3</v>
      </c>
      <c r="H90">
        <v>7</v>
      </c>
      <c r="I90">
        <v>47.1</v>
      </c>
      <c r="J90">
        <v>93.3</v>
      </c>
      <c r="K90" t="str">
        <f>IF(COUNTIFS($A$2:A90, A90, $C$2:C90, C90)&gt;1, "Duplicate", "Unique")</f>
        <v>Duplicate</v>
      </c>
      <c r="L90" t="str">
        <f t="shared" si="4"/>
        <v>Normal</v>
      </c>
      <c r="M90" t="str">
        <f t="shared" si="5"/>
        <v>Normal</v>
      </c>
      <c r="N90" s="55"/>
    </row>
    <row r="91" spans="1:14" x14ac:dyDescent="0.3">
      <c r="A91" t="s">
        <v>11</v>
      </c>
      <c r="B91" t="s">
        <v>12</v>
      </c>
      <c r="C91" s="2">
        <v>46066</v>
      </c>
      <c r="D91">
        <v>303.89999999999998</v>
      </c>
      <c r="E91">
        <v>68.2</v>
      </c>
      <c r="F91" s="8">
        <f t="shared" si="3"/>
        <v>4.4560117302052777</v>
      </c>
      <c r="G91">
        <v>2.8</v>
      </c>
      <c r="H91">
        <v>6</v>
      </c>
      <c r="I91">
        <v>31.3</v>
      </c>
      <c r="J91">
        <v>89.1</v>
      </c>
      <c r="K91" t="str">
        <f>IF(COUNTIFS($A$2:A91, A91, $C$2:C91, C91)&gt;1, "Duplicate", "Unique")</f>
        <v>Unique</v>
      </c>
      <c r="L91" t="str">
        <f t="shared" si="4"/>
        <v>Normal</v>
      </c>
      <c r="M91" t="str">
        <f t="shared" si="5"/>
        <v>Normal</v>
      </c>
      <c r="N91" s="55"/>
    </row>
    <row r="92" spans="1:14" x14ac:dyDescent="0.3">
      <c r="A92" t="s">
        <v>11</v>
      </c>
      <c r="B92" t="s">
        <v>12</v>
      </c>
      <c r="C92" s="2">
        <v>46102</v>
      </c>
      <c r="D92">
        <v>189.3</v>
      </c>
      <c r="E92">
        <v>54.6</v>
      </c>
      <c r="F92" s="8">
        <f t="shared" si="3"/>
        <v>3.4670329670329672</v>
      </c>
      <c r="G92">
        <v>0.5</v>
      </c>
      <c r="H92">
        <v>5</v>
      </c>
      <c r="I92">
        <v>36.9</v>
      </c>
      <c r="J92">
        <v>95.7</v>
      </c>
      <c r="K92" t="str">
        <f>IF(COUNTIFS($A$2:A92, A92, $C$2:C92, C92)&gt;1, "Duplicate", "Unique")</f>
        <v>Unique</v>
      </c>
      <c r="L92" t="str">
        <f t="shared" si="4"/>
        <v>Normal</v>
      </c>
      <c r="M92" t="str">
        <f t="shared" si="5"/>
        <v>Normal</v>
      </c>
      <c r="N92" s="55"/>
    </row>
    <row r="93" spans="1:14" x14ac:dyDescent="0.3">
      <c r="A93" t="s">
        <v>11</v>
      </c>
      <c r="B93" t="s">
        <v>12</v>
      </c>
      <c r="C93" s="2">
        <v>46094</v>
      </c>
      <c r="D93">
        <v>414.9</v>
      </c>
      <c r="E93">
        <v>76.3</v>
      </c>
      <c r="F93" s="8">
        <f t="shared" si="3"/>
        <v>5.4377457404980341</v>
      </c>
      <c r="G93">
        <v>2.7</v>
      </c>
      <c r="H93">
        <v>3</v>
      </c>
      <c r="I93">
        <v>60.8</v>
      </c>
      <c r="J93">
        <v>87.5</v>
      </c>
      <c r="K93" t="str">
        <f>IF(COUNTIFS($A$2:A93, A93, $C$2:C93, C93)&gt;1, "Duplicate", "Unique")</f>
        <v>Unique</v>
      </c>
      <c r="L93" t="str">
        <f t="shared" si="4"/>
        <v>Normal</v>
      </c>
      <c r="M93" t="str">
        <f t="shared" si="5"/>
        <v>Normal</v>
      </c>
      <c r="N93" s="55"/>
    </row>
    <row r="94" spans="1:14" x14ac:dyDescent="0.3">
      <c r="A94" t="s">
        <v>11</v>
      </c>
      <c r="B94" t="s">
        <v>12</v>
      </c>
      <c r="C94" s="2">
        <v>46069</v>
      </c>
      <c r="D94">
        <v>173.1</v>
      </c>
      <c r="E94">
        <v>49.9</v>
      </c>
      <c r="F94" s="8">
        <f t="shared" si="3"/>
        <v>3.4689378757515028</v>
      </c>
      <c r="G94">
        <v>2.9</v>
      </c>
      <c r="H94">
        <v>4</v>
      </c>
      <c r="I94">
        <v>50.6</v>
      </c>
      <c r="J94">
        <v>87</v>
      </c>
      <c r="K94" t="str">
        <f>IF(COUNTIFS($A$2:A94, A94, $C$2:C94, C94)&gt;1, "Duplicate", "Unique")</f>
        <v>Unique</v>
      </c>
      <c r="L94" t="str">
        <f t="shared" si="4"/>
        <v>Normal</v>
      </c>
      <c r="M94" t="str">
        <f t="shared" si="5"/>
        <v>Normal</v>
      </c>
      <c r="N94" s="55"/>
    </row>
    <row r="95" spans="1:14" x14ac:dyDescent="0.3">
      <c r="A95" t="s">
        <v>11</v>
      </c>
      <c r="B95" t="s">
        <v>12</v>
      </c>
      <c r="C95" s="2">
        <v>46037</v>
      </c>
      <c r="D95">
        <v>387.6</v>
      </c>
      <c r="E95">
        <v>81.2</v>
      </c>
      <c r="F95" s="8">
        <f t="shared" si="3"/>
        <v>4.7733990147783256</v>
      </c>
      <c r="G95">
        <v>1.7</v>
      </c>
      <c r="H95">
        <v>6</v>
      </c>
      <c r="I95">
        <v>50.5</v>
      </c>
      <c r="J95">
        <v>88.1</v>
      </c>
      <c r="K95" t="str">
        <f>IF(COUNTIFS($A$2:A95, A95, $C$2:C95, C95)&gt;1, "Duplicate", "Unique")</f>
        <v>Unique</v>
      </c>
      <c r="L95" t="str">
        <f t="shared" si="4"/>
        <v>Normal</v>
      </c>
      <c r="M95" t="str">
        <f t="shared" si="5"/>
        <v>Normal</v>
      </c>
      <c r="N95" s="55"/>
    </row>
    <row r="96" spans="1:14" x14ac:dyDescent="0.3">
      <c r="A96" t="s">
        <v>11</v>
      </c>
      <c r="B96" t="s">
        <v>12</v>
      </c>
      <c r="C96" s="2">
        <v>46074</v>
      </c>
      <c r="D96">
        <v>270.8</v>
      </c>
      <c r="E96">
        <v>76.3</v>
      </c>
      <c r="F96" s="8">
        <f t="shared" si="3"/>
        <v>3.5491480996068154</v>
      </c>
      <c r="G96">
        <v>4.2</v>
      </c>
      <c r="H96">
        <v>6</v>
      </c>
      <c r="I96">
        <v>50.5</v>
      </c>
      <c r="J96">
        <v>92.3</v>
      </c>
      <c r="K96" t="str">
        <f>IF(COUNTIFS($A$2:A96, A96, $C$2:C96, C96)&gt;1, "Duplicate", "Unique")</f>
        <v>Unique</v>
      </c>
      <c r="L96" t="str">
        <f t="shared" si="4"/>
        <v>Normal</v>
      </c>
      <c r="M96" t="str">
        <f t="shared" si="5"/>
        <v>Normal</v>
      </c>
      <c r="N96" s="55"/>
    </row>
    <row r="97" spans="1:14" x14ac:dyDescent="0.3">
      <c r="A97" t="s">
        <v>11</v>
      </c>
      <c r="B97" t="s">
        <v>12</v>
      </c>
      <c r="C97" s="2">
        <v>46091</v>
      </c>
      <c r="D97">
        <v>227.2</v>
      </c>
      <c r="E97">
        <v>42</v>
      </c>
      <c r="F97" s="8">
        <f t="shared" si="3"/>
        <v>5.409523809523809</v>
      </c>
      <c r="G97">
        <v>3.7</v>
      </c>
      <c r="H97">
        <v>8</v>
      </c>
      <c r="I97">
        <v>42.1</v>
      </c>
      <c r="J97">
        <v>97.4</v>
      </c>
      <c r="K97" t="str">
        <f>IF(COUNTIFS($A$2:A97, A97, $C$2:C97, C97)&gt;1, "Duplicate", "Unique")</f>
        <v>Unique</v>
      </c>
      <c r="L97" t="str">
        <f t="shared" si="4"/>
        <v>Normal</v>
      </c>
      <c r="M97" t="str">
        <f t="shared" si="5"/>
        <v>Normal</v>
      </c>
      <c r="N97" s="55"/>
    </row>
    <row r="98" spans="1:14" x14ac:dyDescent="0.3">
      <c r="A98" t="s">
        <v>11</v>
      </c>
      <c r="B98" t="s">
        <v>12</v>
      </c>
      <c r="C98" s="2">
        <v>46097</v>
      </c>
      <c r="D98">
        <v>115.4</v>
      </c>
      <c r="E98">
        <v>36.5</v>
      </c>
      <c r="F98" s="8">
        <f t="shared" si="3"/>
        <v>3.1616438356164385</v>
      </c>
      <c r="G98">
        <v>3.7</v>
      </c>
      <c r="H98">
        <v>2</v>
      </c>
      <c r="I98">
        <v>56.6</v>
      </c>
      <c r="J98">
        <v>85.9</v>
      </c>
      <c r="K98" t="str">
        <f>IF(COUNTIFS($A$2:A98, A98, $C$2:C98, C98)&gt;1, "Duplicate", "Unique")</f>
        <v>Unique</v>
      </c>
      <c r="L98" t="str">
        <f t="shared" si="4"/>
        <v>Normal</v>
      </c>
      <c r="M98" t="str">
        <f t="shared" si="5"/>
        <v>Normal</v>
      </c>
      <c r="N98" s="55"/>
    </row>
    <row r="99" spans="1:14" x14ac:dyDescent="0.3">
      <c r="A99" t="s">
        <v>11</v>
      </c>
      <c r="B99" t="s">
        <v>12</v>
      </c>
      <c r="C99" s="2">
        <v>46097</v>
      </c>
      <c r="D99">
        <v>296.89999999999998</v>
      </c>
      <c r="E99">
        <v>56.3</v>
      </c>
      <c r="F99" s="8">
        <f t="shared" si="3"/>
        <v>5.2735346358792183</v>
      </c>
      <c r="G99">
        <v>0.5</v>
      </c>
      <c r="H99">
        <v>2</v>
      </c>
      <c r="I99">
        <v>38.9</v>
      </c>
      <c r="J99">
        <v>94.7</v>
      </c>
      <c r="K99" t="str">
        <f>IF(COUNTIFS($A$2:A99, A99, $C$2:C99, C99)&gt;1, "Duplicate", "Unique")</f>
        <v>Duplicate</v>
      </c>
      <c r="L99" t="str">
        <f t="shared" si="4"/>
        <v>Normal</v>
      </c>
      <c r="M99" t="str">
        <f t="shared" si="5"/>
        <v>Normal</v>
      </c>
      <c r="N99" s="55"/>
    </row>
    <row r="100" spans="1:14" x14ac:dyDescent="0.3">
      <c r="A100" t="s">
        <v>11</v>
      </c>
      <c r="B100" t="s">
        <v>12</v>
      </c>
      <c r="C100" s="2">
        <v>46070</v>
      </c>
      <c r="D100">
        <v>340.7</v>
      </c>
      <c r="E100">
        <v>74.3</v>
      </c>
      <c r="F100" s="8">
        <f t="shared" si="3"/>
        <v>4.5854643337819647</v>
      </c>
      <c r="G100">
        <v>2.7</v>
      </c>
      <c r="H100">
        <v>6</v>
      </c>
      <c r="I100">
        <v>43.6</v>
      </c>
      <c r="J100">
        <v>87</v>
      </c>
      <c r="K100" t="str">
        <f>IF(COUNTIFS($A$2:A100, A100, $C$2:C100, C100)&gt;1, "Duplicate", "Unique")</f>
        <v>Unique</v>
      </c>
      <c r="L100" t="str">
        <f t="shared" si="4"/>
        <v>Normal</v>
      </c>
      <c r="M100" t="str">
        <f t="shared" si="5"/>
        <v>Normal</v>
      </c>
      <c r="N100" s="55"/>
    </row>
    <row r="101" spans="1:14" x14ac:dyDescent="0.3">
      <c r="A101" t="s">
        <v>11</v>
      </c>
      <c r="B101" t="s">
        <v>12</v>
      </c>
      <c r="C101" s="2">
        <v>46066</v>
      </c>
      <c r="D101">
        <v>299.8</v>
      </c>
      <c r="E101">
        <v>67.3</v>
      </c>
      <c r="F101" s="8">
        <f t="shared" si="3"/>
        <v>4.4546805349182765</v>
      </c>
      <c r="G101">
        <v>2.2999999999999998</v>
      </c>
      <c r="H101">
        <v>1</v>
      </c>
      <c r="I101">
        <v>49.4</v>
      </c>
      <c r="J101">
        <v>94.8</v>
      </c>
      <c r="K101" t="str">
        <f>IF(COUNTIFS($A$2:A101, A101, $C$2:C101, C101)&gt;1, "Duplicate", "Unique")</f>
        <v>Duplicate</v>
      </c>
      <c r="L101" t="str">
        <f t="shared" si="4"/>
        <v>Normal</v>
      </c>
      <c r="M101" t="str">
        <f t="shared" si="5"/>
        <v>Normal</v>
      </c>
      <c r="N101" s="55"/>
    </row>
    <row r="102" spans="1:14" x14ac:dyDescent="0.3">
      <c r="A102" t="s">
        <v>11</v>
      </c>
      <c r="B102" t="s">
        <v>12</v>
      </c>
      <c r="C102" s="2">
        <v>46051</v>
      </c>
      <c r="D102">
        <v>211.5</v>
      </c>
      <c r="E102">
        <v>44</v>
      </c>
      <c r="F102" s="8">
        <f t="shared" si="3"/>
        <v>4.8068181818181817</v>
      </c>
      <c r="G102">
        <v>1.5</v>
      </c>
      <c r="H102">
        <v>6</v>
      </c>
      <c r="I102">
        <v>46.7</v>
      </c>
      <c r="J102">
        <v>93.8</v>
      </c>
      <c r="K102" t="str">
        <f>IF(COUNTIFS($A$2:A102, A102, $C$2:C102, C102)&gt;1, "Duplicate", "Unique")</f>
        <v>Unique</v>
      </c>
      <c r="L102" t="str">
        <f t="shared" si="4"/>
        <v>Normal</v>
      </c>
      <c r="M102" t="str">
        <f t="shared" si="5"/>
        <v>Normal</v>
      </c>
      <c r="N102" s="55"/>
    </row>
    <row r="103" spans="1:14" x14ac:dyDescent="0.3">
      <c r="A103" t="s">
        <v>11</v>
      </c>
      <c r="B103" t="s">
        <v>12</v>
      </c>
      <c r="C103" s="2">
        <v>46039</v>
      </c>
      <c r="D103">
        <v>307.39999999999998</v>
      </c>
      <c r="E103">
        <v>68.2</v>
      </c>
      <c r="F103" s="8">
        <f t="shared" si="3"/>
        <v>4.5073313782991198</v>
      </c>
      <c r="G103">
        <v>1.9</v>
      </c>
      <c r="H103">
        <v>8</v>
      </c>
      <c r="I103">
        <v>47.2</v>
      </c>
      <c r="J103">
        <v>85.6</v>
      </c>
      <c r="K103" t="str">
        <f>IF(COUNTIFS($A$2:A103, A103, $C$2:C103, C103)&gt;1, "Duplicate", "Unique")</f>
        <v>Unique</v>
      </c>
      <c r="L103" t="str">
        <f t="shared" si="4"/>
        <v>Normal</v>
      </c>
      <c r="M103" t="str">
        <f t="shared" si="5"/>
        <v>Normal</v>
      </c>
      <c r="N103" s="55"/>
    </row>
    <row r="104" spans="1:14" x14ac:dyDescent="0.3">
      <c r="A104" t="s">
        <v>11</v>
      </c>
      <c r="B104" t="s">
        <v>12</v>
      </c>
      <c r="C104" s="2">
        <v>46028</v>
      </c>
      <c r="D104">
        <v>190.3</v>
      </c>
      <c r="E104">
        <v>53.1</v>
      </c>
      <c r="F104" s="8">
        <f t="shared" si="3"/>
        <v>3.5838041431261773</v>
      </c>
      <c r="G104">
        <v>3.3</v>
      </c>
      <c r="H104">
        <v>6</v>
      </c>
      <c r="I104">
        <v>49.5</v>
      </c>
      <c r="J104">
        <v>95.3</v>
      </c>
      <c r="K104" t="str">
        <f>IF(COUNTIFS($A$2:A104, A104, $C$2:C104, C104)&gt;1, "Duplicate", "Unique")</f>
        <v>Unique</v>
      </c>
      <c r="L104" t="str">
        <f t="shared" si="4"/>
        <v>Normal</v>
      </c>
      <c r="M104" t="str">
        <f t="shared" si="5"/>
        <v>Normal</v>
      </c>
      <c r="N104" s="55"/>
    </row>
    <row r="105" spans="1:14" x14ac:dyDescent="0.3">
      <c r="A105" t="s">
        <v>11</v>
      </c>
      <c r="B105" t="s">
        <v>12</v>
      </c>
      <c r="C105" s="2">
        <v>46096</v>
      </c>
      <c r="D105">
        <v>384</v>
      </c>
      <c r="E105">
        <v>73</v>
      </c>
      <c r="F105" s="8">
        <f t="shared" si="3"/>
        <v>5.2602739726027394</v>
      </c>
      <c r="G105">
        <v>2</v>
      </c>
      <c r="H105">
        <v>8</v>
      </c>
      <c r="I105">
        <v>58.4</v>
      </c>
      <c r="J105">
        <v>91.5</v>
      </c>
      <c r="K105" t="str">
        <f>IF(COUNTIFS($A$2:A105, A105, $C$2:C105, C105)&gt;1, "Duplicate", "Unique")</f>
        <v>Unique</v>
      </c>
      <c r="L105" t="str">
        <f t="shared" si="4"/>
        <v>Normal</v>
      </c>
      <c r="M105" t="str">
        <f t="shared" si="5"/>
        <v>Normal</v>
      </c>
      <c r="N105" s="55"/>
    </row>
    <row r="106" spans="1:14" x14ac:dyDescent="0.3">
      <c r="A106" t="s">
        <v>11</v>
      </c>
      <c r="B106" t="s">
        <v>12</v>
      </c>
      <c r="C106" s="2">
        <v>46068</v>
      </c>
      <c r="D106">
        <v>423.4</v>
      </c>
      <c r="E106">
        <v>137.19999999999999</v>
      </c>
      <c r="F106" s="8">
        <f t="shared" si="3"/>
        <v>3.0860058309037903</v>
      </c>
      <c r="G106">
        <v>3.6</v>
      </c>
      <c r="H106">
        <v>5</v>
      </c>
      <c r="I106">
        <v>57.3</v>
      </c>
      <c r="J106">
        <v>89.2</v>
      </c>
      <c r="K106" t="str">
        <f>IF(COUNTIFS($A$2:A106, A106, $C$2:C106, C106)&gt;1, "Duplicate", "Unique")</f>
        <v>Unique</v>
      </c>
      <c r="L106" t="str">
        <f t="shared" si="4"/>
        <v>Normal</v>
      </c>
      <c r="M106" t="str">
        <f t="shared" si="5"/>
        <v>Normal</v>
      </c>
      <c r="N106" s="55"/>
    </row>
    <row r="107" spans="1:14" x14ac:dyDescent="0.3">
      <c r="A107" t="s">
        <v>11</v>
      </c>
      <c r="B107" t="s">
        <v>12</v>
      </c>
      <c r="C107" s="2">
        <v>46052</v>
      </c>
      <c r="D107">
        <v>219.9</v>
      </c>
      <c r="E107">
        <v>69.7</v>
      </c>
      <c r="F107" s="8">
        <f t="shared" si="3"/>
        <v>3.1549497847919654</v>
      </c>
      <c r="G107">
        <v>0.3</v>
      </c>
      <c r="H107">
        <v>7</v>
      </c>
      <c r="I107">
        <v>67.2</v>
      </c>
      <c r="J107">
        <v>94.1</v>
      </c>
      <c r="K107" t="str">
        <f>IF(COUNTIFS($A$2:A107, A107, $C$2:C107, C107)&gt;1, "Duplicate", "Unique")</f>
        <v>Unique</v>
      </c>
      <c r="L107" t="str">
        <f t="shared" si="4"/>
        <v>Normal</v>
      </c>
      <c r="M107" t="str">
        <f t="shared" si="5"/>
        <v>Normal</v>
      </c>
      <c r="N107" s="55"/>
    </row>
    <row r="108" spans="1:14" x14ac:dyDescent="0.3">
      <c r="A108" t="s">
        <v>11</v>
      </c>
      <c r="B108" t="s">
        <v>12</v>
      </c>
      <c r="C108" s="2">
        <v>46100</v>
      </c>
      <c r="D108">
        <v>94</v>
      </c>
      <c r="E108">
        <v>24.5</v>
      </c>
      <c r="F108" s="8">
        <f t="shared" si="3"/>
        <v>3.8367346938775508</v>
      </c>
      <c r="G108">
        <v>4.4000000000000004</v>
      </c>
      <c r="H108">
        <v>5</v>
      </c>
      <c r="I108">
        <v>62</v>
      </c>
      <c r="J108">
        <v>94</v>
      </c>
      <c r="K108" t="str">
        <f>IF(COUNTIFS($A$2:A108, A108, $C$2:C108, C108)&gt;1, "Duplicate", "Unique")</f>
        <v>Unique</v>
      </c>
      <c r="L108" t="str">
        <f t="shared" si="4"/>
        <v>Normal</v>
      </c>
      <c r="M108" t="str">
        <f t="shared" si="5"/>
        <v>Normal</v>
      </c>
      <c r="N108" s="55"/>
    </row>
    <row r="109" spans="1:14" x14ac:dyDescent="0.3">
      <c r="A109" t="s">
        <v>11</v>
      </c>
      <c r="B109" t="s">
        <v>12</v>
      </c>
      <c r="C109" s="2">
        <v>46109</v>
      </c>
      <c r="D109">
        <v>433.6</v>
      </c>
      <c r="E109">
        <v>105</v>
      </c>
      <c r="F109" s="8">
        <f t="shared" si="3"/>
        <v>4.1295238095238096</v>
      </c>
      <c r="G109">
        <v>0.2</v>
      </c>
      <c r="H109">
        <v>1</v>
      </c>
      <c r="I109">
        <v>68.2</v>
      </c>
      <c r="J109">
        <v>90.6</v>
      </c>
      <c r="K109" t="str">
        <f>IF(COUNTIFS($A$2:A109, A109, $C$2:C109, C109)&gt;1, "Duplicate", "Unique")</f>
        <v>Unique</v>
      </c>
      <c r="L109" t="str">
        <f t="shared" si="4"/>
        <v>Normal</v>
      </c>
      <c r="M109" t="str">
        <f t="shared" si="5"/>
        <v>Normal</v>
      </c>
      <c r="N109" s="55"/>
    </row>
    <row r="110" spans="1:14" x14ac:dyDescent="0.3">
      <c r="A110" t="s">
        <v>11</v>
      </c>
      <c r="B110" t="s">
        <v>12</v>
      </c>
      <c r="C110" s="2">
        <v>46106</v>
      </c>
      <c r="D110">
        <v>424.7</v>
      </c>
      <c r="E110">
        <v>110.2</v>
      </c>
      <c r="F110" s="8">
        <f t="shared" si="3"/>
        <v>3.8539019963702357</v>
      </c>
      <c r="G110">
        <v>1.2</v>
      </c>
      <c r="H110">
        <v>5</v>
      </c>
      <c r="I110">
        <v>49.9</v>
      </c>
      <c r="J110">
        <v>86.9</v>
      </c>
      <c r="K110" t="str">
        <f>IF(COUNTIFS($A$2:A110, A110, $C$2:C110, C110)&gt;1, "Duplicate", "Unique")</f>
        <v>Duplicate</v>
      </c>
      <c r="L110" t="str">
        <f t="shared" si="4"/>
        <v>Normal</v>
      </c>
      <c r="M110" t="str">
        <f t="shared" si="5"/>
        <v>Normal</v>
      </c>
      <c r="N110" s="55"/>
    </row>
    <row r="111" spans="1:14" x14ac:dyDescent="0.3">
      <c r="A111" t="s">
        <v>11</v>
      </c>
      <c r="B111" t="s">
        <v>12</v>
      </c>
      <c r="C111" s="2">
        <v>46079</v>
      </c>
      <c r="D111">
        <v>193.9</v>
      </c>
      <c r="E111">
        <v>49.6</v>
      </c>
      <c r="F111" s="8">
        <f t="shared" si="3"/>
        <v>3.909274193548387</v>
      </c>
      <c r="G111">
        <v>0.9</v>
      </c>
      <c r="H111">
        <v>1</v>
      </c>
      <c r="I111">
        <v>30</v>
      </c>
      <c r="J111">
        <v>97.2</v>
      </c>
      <c r="K111" t="str">
        <f>IF(COUNTIFS($A$2:A111, A111, $C$2:C111, C111)&gt;1, "Duplicate", "Unique")</f>
        <v>Unique</v>
      </c>
      <c r="L111" t="str">
        <f t="shared" si="4"/>
        <v>Normal</v>
      </c>
      <c r="M111" t="str">
        <f t="shared" si="5"/>
        <v>Normal</v>
      </c>
      <c r="N111" s="55"/>
    </row>
    <row r="112" spans="1:14" x14ac:dyDescent="0.3">
      <c r="A112" t="s">
        <v>11</v>
      </c>
      <c r="B112" t="s">
        <v>12</v>
      </c>
      <c r="C112" s="2">
        <v>46024</v>
      </c>
      <c r="D112">
        <v>424.2</v>
      </c>
      <c r="E112">
        <v>126.1</v>
      </c>
      <c r="F112" s="8">
        <f t="shared" si="3"/>
        <v>3.3639968279143537</v>
      </c>
      <c r="G112">
        <v>2.2999999999999998</v>
      </c>
      <c r="H112">
        <v>2</v>
      </c>
      <c r="I112">
        <v>51.1</v>
      </c>
      <c r="J112">
        <v>94.6</v>
      </c>
      <c r="K112" t="str">
        <f>IF(COUNTIFS($A$2:A112, A112, $C$2:C112, C112)&gt;1, "Duplicate", "Unique")</f>
        <v>Unique</v>
      </c>
      <c r="L112" t="str">
        <f t="shared" si="4"/>
        <v>Normal</v>
      </c>
      <c r="M112" t="str">
        <f t="shared" si="5"/>
        <v>Normal</v>
      </c>
      <c r="N112" s="55"/>
    </row>
    <row r="113" spans="1:14" x14ac:dyDescent="0.3">
      <c r="A113" t="s">
        <v>11</v>
      </c>
      <c r="B113" t="s">
        <v>12</v>
      </c>
      <c r="C113" s="2">
        <v>46071</v>
      </c>
      <c r="D113">
        <v>272.7</v>
      </c>
      <c r="E113">
        <v>58.9</v>
      </c>
      <c r="F113" s="8">
        <f t="shared" si="3"/>
        <v>4.6298811544991514</v>
      </c>
      <c r="G113">
        <v>4</v>
      </c>
      <c r="H113">
        <v>4</v>
      </c>
      <c r="I113">
        <v>48.8</v>
      </c>
      <c r="J113">
        <v>93.6</v>
      </c>
      <c r="K113" t="str">
        <f>IF(COUNTIFS($A$2:A113, A113, $C$2:C113, C113)&gt;1, "Duplicate", "Unique")</f>
        <v>Unique</v>
      </c>
      <c r="L113" t="str">
        <f t="shared" si="4"/>
        <v>Normal</v>
      </c>
      <c r="M113" t="str">
        <f t="shared" si="5"/>
        <v>Normal</v>
      </c>
      <c r="N113" s="55"/>
    </row>
    <row r="114" spans="1:14" x14ac:dyDescent="0.3">
      <c r="A114" t="s">
        <v>11</v>
      </c>
      <c r="B114" t="s">
        <v>12</v>
      </c>
      <c r="C114" s="2">
        <v>46097</v>
      </c>
      <c r="D114">
        <v>83</v>
      </c>
      <c r="E114">
        <v>15.2</v>
      </c>
      <c r="F114" s="8">
        <f t="shared" si="3"/>
        <v>5.4605263157894743</v>
      </c>
      <c r="G114">
        <v>1.9</v>
      </c>
      <c r="H114">
        <v>3</v>
      </c>
      <c r="I114">
        <v>68.400000000000006</v>
      </c>
      <c r="J114">
        <v>85.9</v>
      </c>
      <c r="K114" t="str">
        <f>IF(COUNTIFS($A$2:A114, A114, $C$2:C114, C114)&gt;1, "Duplicate", "Unique")</f>
        <v>Duplicate</v>
      </c>
      <c r="L114" t="str">
        <f t="shared" si="4"/>
        <v>Normal</v>
      </c>
      <c r="M114" t="str">
        <f t="shared" si="5"/>
        <v>Normal</v>
      </c>
      <c r="N114" s="55"/>
    </row>
    <row r="115" spans="1:14" x14ac:dyDescent="0.3">
      <c r="A115" t="s">
        <v>11</v>
      </c>
      <c r="B115" t="s">
        <v>12</v>
      </c>
      <c r="C115" s="2">
        <v>46069</v>
      </c>
      <c r="D115">
        <v>277.8</v>
      </c>
      <c r="E115">
        <v>51.5</v>
      </c>
      <c r="F115" s="8">
        <f t="shared" si="3"/>
        <v>5.3941747572815535</v>
      </c>
      <c r="G115">
        <v>0.5</v>
      </c>
      <c r="H115">
        <v>8</v>
      </c>
      <c r="I115">
        <v>64.2</v>
      </c>
      <c r="J115">
        <v>89.3</v>
      </c>
      <c r="K115" t="str">
        <f>IF(COUNTIFS($A$2:A115, A115, $C$2:C115, C115)&gt;1, "Duplicate", "Unique")</f>
        <v>Duplicate</v>
      </c>
      <c r="L115" t="str">
        <f t="shared" si="4"/>
        <v>Normal</v>
      </c>
      <c r="M115" t="str">
        <f t="shared" si="5"/>
        <v>Normal</v>
      </c>
      <c r="N115" s="55"/>
    </row>
    <row r="116" spans="1:14" x14ac:dyDescent="0.3">
      <c r="A116" t="s">
        <v>11</v>
      </c>
      <c r="B116" t="s">
        <v>12</v>
      </c>
      <c r="C116" s="2">
        <v>46025</v>
      </c>
      <c r="D116">
        <v>257.5</v>
      </c>
      <c r="E116">
        <v>71.099999999999994</v>
      </c>
      <c r="F116" s="8">
        <f t="shared" si="3"/>
        <v>3.6216596343178624</v>
      </c>
      <c r="G116">
        <v>3.2</v>
      </c>
      <c r="H116">
        <v>1</v>
      </c>
      <c r="I116">
        <v>73.900000000000006</v>
      </c>
      <c r="J116">
        <v>92</v>
      </c>
      <c r="K116" t="str">
        <f>IF(COUNTIFS($A$2:A116, A116, $C$2:C116, C116)&gt;1, "Duplicate", "Unique")</f>
        <v>Unique</v>
      </c>
      <c r="L116" t="str">
        <f t="shared" si="4"/>
        <v>Normal</v>
      </c>
      <c r="M116" t="str">
        <f t="shared" si="5"/>
        <v>Normal</v>
      </c>
      <c r="N116" s="55"/>
    </row>
    <row r="117" spans="1:14" x14ac:dyDescent="0.3">
      <c r="A117" t="s">
        <v>11</v>
      </c>
      <c r="B117" t="s">
        <v>12</v>
      </c>
      <c r="C117" s="2">
        <v>46047</v>
      </c>
      <c r="D117">
        <v>410</v>
      </c>
      <c r="E117">
        <v>101.6</v>
      </c>
      <c r="F117" s="8">
        <f t="shared" si="3"/>
        <v>4.0354330708661417</v>
      </c>
      <c r="G117">
        <v>0.5</v>
      </c>
      <c r="H117">
        <v>3</v>
      </c>
      <c r="I117">
        <v>43</v>
      </c>
      <c r="J117">
        <v>99.3</v>
      </c>
      <c r="K117" t="str">
        <f>IF(COUNTIFS($A$2:A117, A117, $C$2:C117, C117)&gt;1, "Duplicate", "Unique")</f>
        <v>Unique</v>
      </c>
      <c r="L117" t="str">
        <f t="shared" si="4"/>
        <v>Normal</v>
      </c>
      <c r="M117" t="str">
        <f t="shared" si="5"/>
        <v>Normal</v>
      </c>
      <c r="N117" s="55"/>
    </row>
    <row r="118" spans="1:14" x14ac:dyDescent="0.3">
      <c r="A118" t="s">
        <v>11</v>
      </c>
      <c r="B118" t="s">
        <v>12</v>
      </c>
      <c r="C118" s="2">
        <v>46050</v>
      </c>
      <c r="D118">
        <v>349.3</v>
      </c>
      <c r="E118">
        <v>87.3</v>
      </c>
      <c r="F118" s="8">
        <f t="shared" si="3"/>
        <v>4.0011454753722795</v>
      </c>
      <c r="G118">
        <v>4.5</v>
      </c>
      <c r="H118">
        <v>8</v>
      </c>
      <c r="I118">
        <v>43</v>
      </c>
      <c r="J118">
        <v>97.1</v>
      </c>
      <c r="K118" t="str">
        <f>IF(COUNTIFS($A$2:A118, A118, $C$2:C118, C118)&gt;1, "Duplicate", "Unique")</f>
        <v>Unique</v>
      </c>
      <c r="L118" t="str">
        <f t="shared" si="4"/>
        <v>Normal</v>
      </c>
      <c r="M118" t="str">
        <f t="shared" si="5"/>
        <v>Normal</v>
      </c>
      <c r="N118" s="55"/>
    </row>
    <row r="119" spans="1:14" x14ac:dyDescent="0.3">
      <c r="A119" t="s">
        <v>11</v>
      </c>
      <c r="B119" t="s">
        <v>12</v>
      </c>
      <c r="C119" s="2">
        <v>46099</v>
      </c>
      <c r="D119">
        <v>355.9</v>
      </c>
      <c r="E119">
        <v>81.5</v>
      </c>
      <c r="F119" s="8">
        <f t="shared" si="3"/>
        <v>4.3668711656441719</v>
      </c>
      <c r="G119">
        <v>2.6</v>
      </c>
      <c r="H119">
        <v>5</v>
      </c>
      <c r="I119">
        <v>58.3</v>
      </c>
      <c r="J119">
        <v>92.1</v>
      </c>
      <c r="K119" t="str">
        <f>IF(COUNTIFS($A$2:A119, A119, $C$2:C119, C119)&gt;1, "Duplicate", "Unique")</f>
        <v>Duplicate</v>
      </c>
      <c r="L119" t="str">
        <f t="shared" si="4"/>
        <v>Normal</v>
      </c>
      <c r="M119" t="str">
        <f t="shared" si="5"/>
        <v>Normal</v>
      </c>
      <c r="N119" s="55"/>
    </row>
    <row r="120" spans="1:14" x14ac:dyDescent="0.3">
      <c r="A120" t="s">
        <v>11</v>
      </c>
      <c r="B120" t="s">
        <v>12</v>
      </c>
      <c r="C120" s="2">
        <v>46025</v>
      </c>
      <c r="D120">
        <v>400</v>
      </c>
      <c r="E120">
        <v>15</v>
      </c>
      <c r="F120" s="8">
        <f t="shared" si="3"/>
        <v>26.666666666666668</v>
      </c>
      <c r="G120">
        <v>1</v>
      </c>
      <c r="H120">
        <v>5</v>
      </c>
      <c r="I120">
        <v>60</v>
      </c>
      <c r="J120">
        <v>98</v>
      </c>
      <c r="K120" t="str">
        <f>IF(COUNTIFS($A$2:A120, A120, $C$2:C120, C120)&gt;1, "Duplicate", "Unique")</f>
        <v>Duplicate</v>
      </c>
      <c r="L120" t="str">
        <f t="shared" si="4"/>
        <v>Normal</v>
      </c>
      <c r="M120" t="str">
        <f t="shared" si="5"/>
        <v>Normal</v>
      </c>
      <c r="N120" s="55"/>
    </row>
    <row r="121" spans="1:14" x14ac:dyDescent="0.3">
      <c r="A121" t="s">
        <v>11</v>
      </c>
      <c r="B121" t="s">
        <v>12</v>
      </c>
      <c r="C121" s="2">
        <v>46098</v>
      </c>
      <c r="D121">
        <v>236.1</v>
      </c>
      <c r="E121">
        <v>82</v>
      </c>
      <c r="F121" s="8">
        <f t="shared" si="3"/>
        <v>2.8792682926829269</v>
      </c>
      <c r="G121">
        <v>1.1000000000000001</v>
      </c>
      <c r="H121">
        <v>1</v>
      </c>
      <c r="I121">
        <v>55.3</v>
      </c>
      <c r="J121">
        <v>95.7</v>
      </c>
      <c r="K121" t="str">
        <f>IF(COUNTIFS($A$2:A121, A121, $C$2:C121, C121)&gt;1, "Duplicate", "Unique")</f>
        <v>Duplicate</v>
      </c>
      <c r="L121" t="str">
        <f t="shared" si="4"/>
        <v>Normal</v>
      </c>
      <c r="M121" t="str">
        <f t="shared" si="5"/>
        <v>Suspiciously Low Efficiency</v>
      </c>
      <c r="N121" s="55"/>
    </row>
    <row r="122" spans="1:14" x14ac:dyDescent="0.3">
      <c r="A122" t="s">
        <v>9</v>
      </c>
      <c r="B122" t="s">
        <v>10</v>
      </c>
      <c r="C122" s="2">
        <v>46026</v>
      </c>
      <c r="D122">
        <v>354.4</v>
      </c>
      <c r="E122">
        <v>102.4</v>
      </c>
      <c r="F122" s="8">
        <f t="shared" si="3"/>
        <v>3.4609374999999996</v>
      </c>
      <c r="G122">
        <v>0.8</v>
      </c>
      <c r="H122">
        <v>2</v>
      </c>
      <c r="I122">
        <v>60.5</v>
      </c>
      <c r="J122">
        <v>98.4</v>
      </c>
      <c r="K122" t="str">
        <f>IF(COUNTIFS($A$2:A122, A122, $C$2:C122, C122)&gt;1, "Duplicate", "Unique")</f>
        <v>Unique</v>
      </c>
      <c r="L122" t="str">
        <f t="shared" si="4"/>
        <v>Normal</v>
      </c>
      <c r="M122" t="str">
        <f t="shared" si="5"/>
        <v>Normal</v>
      </c>
      <c r="N122" s="55"/>
    </row>
    <row r="123" spans="1:14" x14ac:dyDescent="0.3">
      <c r="A123" t="s">
        <v>9</v>
      </c>
      <c r="B123" t="s">
        <v>10</v>
      </c>
      <c r="C123" s="2">
        <v>46030</v>
      </c>
      <c r="D123">
        <v>229</v>
      </c>
      <c r="E123">
        <v>61.6</v>
      </c>
      <c r="F123" s="8">
        <f t="shared" si="3"/>
        <v>3.7175324675324672</v>
      </c>
      <c r="G123">
        <v>3.9</v>
      </c>
      <c r="H123">
        <v>4</v>
      </c>
      <c r="I123">
        <v>38.6</v>
      </c>
      <c r="J123">
        <v>93</v>
      </c>
      <c r="K123" t="str">
        <f>IF(COUNTIFS($A$2:A123, A123, $C$2:C123, C123)&gt;1, "Duplicate", "Unique")</f>
        <v>Unique</v>
      </c>
      <c r="L123" t="str">
        <f t="shared" si="4"/>
        <v>Normal</v>
      </c>
      <c r="M123" t="str">
        <f t="shared" si="5"/>
        <v>Normal</v>
      </c>
      <c r="N123" s="55"/>
    </row>
    <row r="124" spans="1:14" x14ac:dyDescent="0.3">
      <c r="A124" t="s">
        <v>9</v>
      </c>
      <c r="B124" t="s">
        <v>10</v>
      </c>
      <c r="C124" s="2">
        <v>46032</v>
      </c>
      <c r="D124">
        <v>278.89999999999998</v>
      </c>
      <c r="E124">
        <v>66.900000000000006</v>
      </c>
      <c r="F124" s="8">
        <f t="shared" si="3"/>
        <v>4.1689088191330335</v>
      </c>
      <c r="G124">
        <v>0.8</v>
      </c>
      <c r="H124">
        <v>6</v>
      </c>
      <c r="I124">
        <v>69.599999999999994</v>
      </c>
      <c r="J124">
        <v>98.2</v>
      </c>
      <c r="K124" t="str">
        <f>IF(COUNTIFS($A$2:A124, A124, $C$2:C124, C124)&gt;1, "Duplicate", "Unique")</f>
        <v>Unique</v>
      </c>
      <c r="L124" t="str">
        <f t="shared" si="4"/>
        <v>Normal</v>
      </c>
      <c r="M124" t="str">
        <f t="shared" si="5"/>
        <v>Normal</v>
      </c>
      <c r="N124" s="55"/>
    </row>
    <row r="125" spans="1:14" x14ac:dyDescent="0.3">
      <c r="A125" t="s">
        <v>9</v>
      </c>
      <c r="B125" t="s">
        <v>10</v>
      </c>
      <c r="C125" s="2">
        <v>46040</v>
      </c>
      <c r="D125">
        <v>177.9</v>
      </c>
      <c r="E125">
        <v>34.200000000000003</v>
      </c>
      <c r="F125" s="8">
        <f t="shared" si="3"/>
        <v>5.2017543859649118</v>
      </c>
      <c r="G125">
        <v>3.4</v>
      </c>
      <c r="H125">
        <v>3</v>
      </c>
      <c r="I125">
        <v>42.3</v>
      </c>
      <c r="J125">
        <v>94.1</v>
      </c>
      <c r="K125" t="str">
        <f>IF(COUNTIFS($A$2:A125, A125, $C$2:C125, C125)&gt;1, "Duplicate", "Unique")</f>
        <v>Unique</v>
      </c>
      <c r="L125" t="str">
        <f t="shared" si="4"/>
        <v>Normal</v>
      </c>
      <c r="M125" t="str">
        <f t="shared" si="5"/>
        <v>Normal</v>
      </c>
      <c r="N125" s="55"/>
    </row>
    <row r="126" spans="1:14" x14ac:dyDescent="0.3">
      <c r="A126" t="s">
        <v>9</v>
      </c>
      <c r="B126" t="s">
        <v>10</v>
      </c>
      <c r="C126" s="2">
        <v>46081</v>
      </c>
      <c r="D126">
        <v>129.30000000000001</v>
      </c>
      <c r="E126">
        <v>31.9</v>
      </c>
      <c r="F126" s="8">
        <f t="shared" si="3"/>
        <v>4.0532915360501569</v>
      </c>
      <c r="G126">
        <v>2.5</v>
      </c>
      <c r="H126">
        <v>6</v>
      </c>
      <c r="I126">
        <v>72.8</v>
      </c>
      <c r="J126">
        <v>98.4</v>
      </c>
      <c r="K126" t="str">
        <f>IF(COUNTIFS($A$2:A126, A126, $C$2:C126, C126)&gt;1, "Duplicate", "Unique")</f>
        <v>Unique</v>
      </c>
      <c r="L126" t="str">
        <f t="shared" si="4"/>
        <v>Normal</v>
      </c>
      <c r="M126" t="str">
        <f t="shared" si="5"/>
        <v>Normal</v>
      </c>
      <c r="N126" s="55"/>
    </row>
    <row r="127" spans="1:14" x14ac:dyDescent="0.3">
      <c r="A127" t="s">
        <v>9</v>
      </c>
      <c r="B127" t="s">
        <v>10</v>
      </c>
      <c r="C127" s="2">
        <v>46074</v>
      </c>
      <c r="D127">
        <v>400</v>
      </c>
      <c r="E127">
        <v>79.599999999999994</v>
      </c>
      <c r="F127" s="8">
        <f t="shared" si="3"/>
        <v>5.025125628140704</v>
      </c>
      <c r="G127">
        <v>0.2</v>
      </c>
      <c r="H127">
        <v>8</v>
      </c>
      <c r="I127">
        <v>48.6</v>
      </c>
      <c r="J127">
        <v>87.8</v>
      </c>
      <c r="K127" t="str">
        <f>IF(COUNTIFS($A$2:A127, A127, $C$2:C127, C127)&gt;1, "Duplicate", "Unique")</f>
        <v>Unique</v>
      </c>
      <c r="L127" t="str">
        <f t="shared" si="4"/>
        <v>Normal</v>
      </c>
      <c r="M127" t="str">
        <f t="shared" si="5"/>
        <v>Normal</v>
      </c>
      <c r="N127" s="55"/>
    </row>
    <row r="128" spans="1:14" x14ac:dyDescent="0.3">
      <c r="A128" t="s">
        <v>9</v>
      </c>
      <c r="B128" t="s">
        <v>10</v>
      </c>
      <c r="C128" s="2">
        <v>46079</v>
      </c>
      <c r="D128">
        <v>141.6</v>
      </c>
      <c r="E128">
        <v>39.200000000000003</v>
      </c>
      <c r="F128" s="8">
        <f t="shared" si="3"/>
        <v>3.6122448979591835</v>
      </c>
      <c r="G128">
        <v>0.3</v>
      </c>
      <c r="H128">
        <v>6</v>
      </c>
      <c r="I128">
        <v>65.8</v>
      </c>
      <c r="J128">
        <v>89.4</v>
      </c>
      <c r="K128" t="str">
        <f>IF(COUNTIFS($A$2:A128, A128, $C$2:C128, C128)&gt;1, "Duplicate", "Unique")</f>
        <v>Unique</v>
      </c>
      <c r="L128" t="str">
        <f t="shared" si="4"/>
        <v>Normal</v>
      </c>
      <c r="M128" t="str">
        <f t="shared" si="5"/>
        <v>Normal</v>
      </c>
      <c r="N128" s="55"/>
    </row>
    <row r="129" spans="1:14" x14ac:dyDescent="0.3">
      <c r="A129" t="s">
        <v>9</v>
      </c>
      <c r="B129" t="s">
        <v>10</v>
      </c>
      <c r="C129" s="2">
        <v>46067</v>
      </c>
      <c r="D129">
        <v>392.8</v>
      </c>
      <c r="E129">
        <v>103.6</v>
      </c>
      <c r="F129" s="8">
        <f t="shared" si="3"/>
        <v>3.7915057915057919</v>
      </c>
      <c r="G129">
        <v>3.5</v>
      </c>
      <c r="H129">
        <v>4</v>
      </c>
      <c r="I129">
        <v>66.3</v>
      </c>
      <c r="J129">
        <v>97.7</v>
      </c>
      <c r="K129" t="str">
        <f>IF(COUNTIFS($A$2:A129, A129, $C$2:C129, C129)&gt;1, "Duplicate", "Unique")</f>
        <v>Unique</v>
      </c>
      <c r="L129" t="str">
        <f t="shared" si="4"/>
        <v>Normal</v>
      </c>
      <c r="M129" t="str">
        <f t="shared" si="5"/>
        <v>Normal</v>
      </c>
      <c r="N129" s="55"/>
    </row>
    <row r="130" spans="1:14" x14ac:dyDescent="0.3">
      <c r="A130" t="s">
        <v>9</v>
      </c>
      <c r="B130" t="s">
        <v>10</v>
      </c>
      <c r="C130" s="2">
        <v>46106</v>
      </c>
      <c r="D130">
        <v>204.1</v>
      </c>
      <c r="E130">
        <v>63.9</v>
      </c>
      <c r="F130" s="8">
        <f t="shared" si="3"/>
        <v>3.1940532081377153</v>
      </c>
      <c r="G130">
        <v>0.4</v>
      </c>
      <c r="H130">
        <v>8</v>
      </c>
      <c r="I130">
        <v>61.3</v>
      </c>
      <c r="J130">
        <v>87.1</v>
      </c>
      <c r="K130" t="str">
        <f>IF(COUNTIFS($A$2:A130, A130, $C$2:C130, C130)&gt;1, "Duplicate", "Unique")</f>
        <v>Unique</v>
      </c>
      <c r="L130" t="str">
        <f t="shared" si="4"/>
        <v>Normal</v>
      </c>
      <c r="M130" t="str">
        <f t="shared" si="5"/>
        <v>Normal</v>
      </c>
      <c r="N130" s="55"/>
    </row>
    <row r="131" spans="1:14" x14ac:dyDescent="0.3">
      <c r="A131" t="s">
        <v>9</v>
      </c>
      <c r="B131" t="s">
        <v>10</v>
      </c>
      <c r="C131" s="2">
        <v>46097</v>
      </c>
      <c r="D131">
        <v>352</v>
      </c>
      <c r="E131">
        <v>95.2</v>
      </c>
      <c r="F131" s="8">
        <f t="shared" ref="F131:F194" si="6">IFERROR(D131/E131,0)</f>
        <v>3.6974789915966384</v>
      </c>
      <c r="G131">
        <v>0.4</v>
      </c>
      <c r="H131">
        <v>6</v>
      </c>
      <c r="I131">
        <v>66.599999999999994</v>
      </c>
      <c r="J131">
        <v>87.6</v>
      </c>
      <c r="K131" t="str">
        <f>IF(COUNTIFS($A$2:A131, A131, $C$2:C131, C131)&gt;1, "Duplicate", "Unique")</f>
        <v>Unique</v>
      </c>
      <c r="L131" t="str">
        <f t="shared" ref="L131:L194" si="7">IF(G131 &gt; (AVERAGE($G$2:$G$811) + (3 * _xlfn.STDEV.P($G$2:$G$811))), "Extreme Idle Outlier", "Normal")</f>
        <v>Normal</v>
      </c>
      <c r="M131" t="str">
        <f t="shared" ref="M131:M194" si="8">IFERROR(IF((D131 / E131) &lt; 3, "Suspiciously Low Efficiency", "Normal"),0)</f>
        <v>Normal</v>
      </c>
      <c r="N131" s="55"/>
    </row>
    <row r="132" spans="1:14" x14ac:dyDescent="0.3">
      <c r="A132" t="s">
        <v>9</v>
      </c>
      <c r="B132" t="s">
        <v>10</v>
      </c>
      <c r="C132" s="2">
        <v>46078</v>
      </c>
      <c r="D132">
        <v>129.6</v>
      </c>
      <c r="E132">
        <v>36.9</v>
      </c>
      <c r="F132" s="8">
        <f t="shared" si="6"/>
        <v>3.5121951219512195</v>
      </c>
      <c r="G132">
        <v>1.8</v>
      </c>
      <c r="H132">
        <v>7</v>
      </c>
      <c r="I132">
        <v>46.5</v>
      </c>
      <c r="J132">
        <v>91</v>
      </c>
      <c r="K132" t="str">
        <f>IF(COUNTIFS($A$2:A132, A132, $C$2:C132, C132)&gt;1, "Duplicate", "Unique")</f>
        <v>Unique</v>
      </c>
      <c r="L132" t="str">
        <f t="shared" si="7"/>
        <v>Normal</v>
      </c>
      <c r="M132" t="str">
        <f t="shared" si="8"/>
        <v>Normal</v>
      </c>
      <c r="N132" s="55"/>
    </row>
    <row r="133" spans="1:14" x14ac:dyDescent="0.3">
      <c r="A133" t="s">
        <v>9</v>
      </c>
      <c r="B133" t="s">
        <v>10</v>
      </c>
      <c r="C133" s="2">
        <v>46065</v>
      </c>
      <c r="D133">
        <v>185.3</v>
      </c>
      <c r="E133">
        <v>33.9</v>
      </c>
      <c r="F133" s="8">
        <f t="shared" si="6"/>
        <v>5.4660766961651923</v>
      </c>
      <c r="G133">
        <v>2.5</v>
      </c>
      <c r="H133">
        <v>8</v>
      </c>
      <c r="I133">
        <v>70</v>
      </c>
      <c r="J133">
        <v>87</v>
      </c>
      <c r="K133" t="str">
        <f>IF(COUNTIFS($A$2:A133, A133, $C$2:C133, C133)&gt;1, "Duplicate", "Unique")</f>
        <v>Unique</v>
      </c>
      <c r="L133" t="str">
        <f t="shared" si="7"/>
        <v>Normal</v>
      </c>
      <c r="M133" t="str">
        <f t="shared" si="8"/>
        <v>Normal</v>
      </c>
      <c r="N133" s="55"/>
    </row>
    <row r="134" spans="1:14" x14ac:dyDescent="0.3">
      <c r="A134" t="s">
        <v>9</v>
      </c>
      <c r="B134" t="s">
        <v>10</v>
      </c>
      <c r="C134" s="2">
        <v>46035</v>
      </c>
      <c r="D134">
        <v>274</v>
      </c>
      <c r="E134">
        <v>79.400000000000006</v>
      </c>
      <c r="F134" s="8">
        <f t="shared" si="6"/>
        <v>3.4508816120906798</v>
      </c>
      <c r="G134">
        <v>2.9</v>
      </c>
      <c r="H134">
        <v>5</v>
      </c>
      <c r="I134">
        <v>66.7</v>
      </c>
      <c r="J134">
        <v>89</v>
      </c>
      <c r="K134" t="str">
        <f>IF(COUNTIFS($A$2:A134, A134, $C$2:C134, C134)&gt;1, "Duplicate", "Unique")</f>
        <v>Unique</v>
      </c>
      <c r="L134" t="str">
        <f t="shared" si="7"/>
        <v>Normal</v>
      </c>
      <c r="M134" t="str">
        <f t="shared" si="8"/>
        <v>Normal</v>
      </c>
      <c r="N134" s="55"/>
    </row>
    <row r="135" spans="1:14" x14ac:dyDescent="0.3">
      <c r="A135" t="s">
        <v>9</v>
      </c>
      <c r="B135" t="s">
        <v>10</v>
      </c>
      <c r="C135" s="2">
        <v>46090</v>
      </c>
      <c r="D135">
        <v>420.1</v>
      </c>
      <c r="E135">
        <v>122.8</v>
      </c>
      <c r="F135" s="8">
        <f t="shared" si="6"/>
        <v>3.421009771986971</v>
      </c>
      <c r="G135">
        <v>4.0999999999999996</v>
      </c>
      <c r="H135">
        <v>8</v>
      </c>
      <c r="I135">
        <v>42.2</v>
      </c>
      <c r="J135">
        <v>98.9</v>
      </c>
      <c r="K135" t="str">
        <f>IF(COUNTIFS($A$2:A135, A135, $C$2:C135, C135)&gt;1, "Duplicate", "Unique")</f>
        <v>Unique</v>
      </c>
      <c r="L135" t="str">
        <f t="shared" si="7"/>
        <v>Normal</v>
      </c>
      <c r="M135" t="str">
        <f t="shared" si="8"/>
        <v>Normal</v>
      </c>
      <c r="N135" s="55"/>
    </row>
    <row r="136" spans="1:14" x14ac:dyDescent="0.3">
      <c r="A136" t="s">
        <v>9</v>
      </c>
      <c r="B136" t="s">
        <v>10</v>
      </c>
      <c r="C136" s="2">
        <v>46039</v>
      </c>
      <c r="D136">
        <v>112.3</v>
      </c>
      <c r="E136">
        <v>28.3</v>
      </c>
      <c r="F136" s="8">
        <f t="shared" si="6"/>
        <v>3.968197879858657</v>
      </c>
      <c r="G136">
        <v>2.6</v>
      </c>
      <c r="H136">
        <v>7</v>
      </c>
      <c r="I136">
        <v>34.6</v>
      </c>
      <c r="J136">
        <v>86.3</v>
      </c>
      <c r="K136" t="str">
        <f>IF(COUNTIFS($A$2:A136, A136, $C$2:C136, C136)&gt;1, "Duplicate", "Unique")</f>
        <v>Unique</v>
      </c>
      <c r="L136" t="str">
        <f t="shared" si="7"/>
        <v>Normal</v>
      </c>
      <c r="M136" t="str">
        <f t="shared" si="8"/>
        <v>Normal</v>
      </c>
      <c r="N136" s="55"/>
    </row>
    <row r="137" spans="1:14" x14ac:dyDescent="0.3">
      <c r="A137" t="s">
        <v>9</v>
      </c>
      <c r="B137" t="s">
        <v>10</v>
      </c>
      <c r="C137" s="2">
        <v>46025</v>
      </c>
      <c r="D137">
        <v>394.2</v>
      </c>
      <c r="E137">
        <v>86.6</v>
      </c>
      <c r="F137" s="8">
        <f t="shared" si="6"/>
        <v>4.5519630484988456</v>
      </c>
      <c r="G137">
        <v>3.1</v>
      </c>
      <c r="H137">
        <v>3</v>
      </c>
      <c r="I137">
        <v>71.8</v>
      </c>
      <c r="J137">
        <v>96.1</v>
      </c>
      <c r="K137" t="str">
        <f>IF(COUNTIFS($A$2:A137, A137, $C$2:C137, C137)&gt;1, "Duplicate", "Unique")</f>
        <v>Unique</v>
      </c>
      <c r="L137" t="str">
        <f t="shared" si="7"/>
        <v>Normal</v>
      </c>
      <c r="M137" t="str">
        <f t="shared" si="8"/>
        <v>Normal</v>
      </c>
      <c r="N137" s="55"/>
    </row>
    <row r="138" spans="1:14" x14ac:dyDescent="0.3">
      <c r="A138" t="s">
        <v>9</v>
      </c>
      <c r="B138" t="s">
        <v>10</v>
      </c>
      <c r="C138" s="2">
        <v>46057</v>
      </c>
      <c r="D138">
        <v>366.8</v>
      </c>
      <c r="E138">
        <v>73</v>
      </c>
      <c r="F138" s="8">
        <f t="shared" si="6"/>
        <v>5.0246575342465754</v>
      </c>
      <c r="G138">
        <v>1.8</v>
      </c>
      <c r="H138">
        <v>1</v>
      </c>
      <c r="I138">
        <v>64.2</v>
      </c>
      <c r="J138">
        <v>91.6</v>
      </c>
      <c r="K138" t="str">
        <f>IF(COUNTIFS($A$2:A138, A138, $C$2:C138, C138)&gt;1, "Duplicate", "Unique")</f>
        <v>Unique</v>
      </c>
      <c r="L138" t="str">
        <f t="shared" si="7"/>
        <v>Normal</v>
      </c>
      <c r="M138" t="str">
        <f t="shared" si="8"/>
        <v>Normal</v>
      </c>
      <c r="N138" s="55"/>
    </row>
    <row r="139" spans="1:14" x14ac:dyDescent="0.3">
      <c r="A139" t="s">
        <v>9</v>
      </c>
      <c r="B139" t="s">
        <v>10</v>
      </c>
      <c r="C139" s="2">
        <v>46052</v>
      </c>
      <c r="D139">
        <v>354.1</v>
      </c>
      <c r="E139">
        <v>126.2</v>
      </c>
      <c r="F139" s="8">
        <f t="shared" si="6"/>
        <v>2.8058637083993663</v>
      </c>
      <c r="G139">
        <v>3.9</v>
      </c>
      <c r="H139">
        <v>1</v>
      </c>
      <c r="I139">
        <v>41</v>
      </c>
      <c r="J139">
        <v>92.1</v>
      </c>
      <c r="K139" t="str">
        <f>IF(COUNTIFS($A$2:A139, A139, $C$2:C139, C139)&gt;1, "Duplicate", "Unique")</f>
        <v>Unique</v>
      </c>
      <c r="L139" t="str">
        <f t="shared" si="7"/>
        <v>Normal</v>
      </c>
      <c r="M139" t="str">
        <f t="shared" si="8"/>
        <v>Suspiciously Low Efficiency</v>
      </c>
      <c r="N139" s="55"/>
    </row>
    <row r="140" spans="1:14" x14ac:dyDescent="0.3">
      <c r="A140" t="s">
        <v>9</v>
      </c>
      <c r="B140" t="s">
        <v>10</v>
      </c>
      <c r="C140" s="2">
        <v>46034</v>
      </c>
      <c r="D140">
        <v>138.30000000000001</v>
      </c>
      <c r="E140">
        <v>29.7</v>
      </c>
      <c r="F140" s="8">
        <f t="shared" si="6"/>
        <v>4.6565656565656575</v>
      </c>
      <c r="G140">
        <v>3.8</v>
      </c>
      <c r="H140">
        <v>1</v>
      </c>
      <c r="I140">
        <v>39.700000000000003</v>
      </c>
      <c r="J140">
        <v>97.8</v>
      </c>
      <c r="K140" t="str">
        <f>IF(COUNTIFS($A$2:A140, A140, $C$2:C140, C140)&gt;1, "Duplicate", "Unique")</f>
        <v>Unique</v>
      </c>
      <c r="L140" t="str">
        <f t="shared" si="7"/>
        <v>Normal</v>
      </c>
      <c r="M140" t="str">
        <f t="shared" si="8"/>
        <v>Normal</v>
      </c>
      <c r="N140" s="55"/>
    </row>
    <row r="141" spans="1:14" x14ac:dyDescent="0.3">
      <c r="A141" t="s">
        <v>9</v>
      </c>
      <c r="B141" t="s">
        <v>10</v>
      </c>
      <c r="C141" s="2">
        <v>46032</v>
      </c>
      <c r="D141">
        <v>206.5</v>
      </c>
      <c r="E141">
        <v>39.700000000000003</v>
      </c>
      <c r="F141" s="8">
        <f t="shared" si="6"/>
        <v>5.2015113350125937</v>
      </c>
      <c r="G141">
        <v>0.9</v>
      </c>
      <c r="H141">
        <v>2</v>
      </c>
      <c r="I141">
        <v>54.6</v>
      </c>
      <c r="J141">
        <v>98.5</v>
      </c>
      <c r="K141" t="str">
        <f>IF(COUNTIFS($A$2:A141, A141, $C$2:C141, C141)&gt;1, "Duplicate", "Unique")</f>
        <v>Duplicate</v>
      </c>
      <c r="L141" t="str">
        <f t="shared" si="7"/>
        <v>Normal</v>
      </c>
      <c r="M141" t="str">
        <f t="shared" si="8"/>
        <v>Normal</v>
      </c>
      <c r="N141" s="55"/>
    </row>
    <row r="142" spans="1:14" x14ac:dyDescent="0.3">
      <c r="A142" t="s">
        <v>9</v>
      </c>
      <c r="B142" t="s">
        <v>10</v>
      </c>
      <c r="C142" s="2">
        <v>46033</v>
      </c>
      <c r="D142">
        <v>327.2</v>
      </c>
      <c r="E142">
        <v>65.7</v>
      </c>
      <c r="F142" s="8">
        <f t="shared" si="6"/>
        <v>4.9802130898021302</v>
      </c>
      <c r="G142">
        <v>2</v>
      </c>
      <c r="H142">
        <v>4</v>
      </c>
      <c r="I142">
        <v>54.9</v>
      </c>
      <c r="J142">
        <v>97.6</v>
      </c>
      <c r="K142" t="str">
        <f>IF(COUNTIFS($A$2:A142, A142, $C$2:C142, C142)&gt;1, "Duplicate", "Unique")</f>
        <v>Unique</v>
      </c>
      <c r="L142" t="str">
        <f t="shared" si="7"/>
        <v>Normal</v>
      </c>
      <c r="M142" t="str">
        <f t="shared" si="8"/>
        <v>Normal</v>
      </c>
      <c r="N142" s="55"/>
    </row>
    <row r="143" spans="1:14" x14ac:dyDescent="0.3">
      <c r="A143" t="s">
        <v>9</v>
      </c>
      <c r="B143" t="s">
        <v>10</v>
      </c>
      <c r="C143" s="2">
        <v>46059</v>
      </c>
      <c r="D143">
        <v>401</v>
      </c>
      <c r="E143">
        <v>77.5</v>
      </c>
      <c r="F143" s="8">
        <f t="shared" si="6"/>
        <v>5.1741935483870964</v>
      </c>
      <c r="G143">
        <v>4</v>
      </c>
      <c r="H143">
        <v>5</v>
      </c>
      <c r="I143">
        <v>47.2</v>
      </c>
      <c r="J143">
        <v>92.3</v>
      </c>
      <c r="K143" t="str">
        <f>IF(COUNTIFS($A$2:A143, A143, $C$2:C143, C143)&gt;1, "Duplicate", "Unique")</f>
        <v>Unique</v>
      </c>
      <c r="L143" t="str">
        <f t="shared" si="7"/>
        <v>Normal</v>
      </c>
      <c r="M143" t="str">
        <f t="shared" si="8"/>
        <v>Normal</v>
      </c>
      <c r="N143" s="55"/>
    </row>
    <row r="144" spans="1:14" x14ac:dyDescent="0.3">
      <c r="A144" t="s">
        <v>9</v>
      </c>
      <c r="B144" t="s">
        <v>10</v>
      </c>
      <c r="C144" s="2">
        <v>46110</v>
      </c>
      <c r="D144">
        <v>221.2</v>
      </c>
      <c r="E144">
        <v>61.3</v>
      </c>
      <c r="F144" s="8">
        <f t="shared" si="6"/>
        <v>3.6084828711256116</v>
      </c>
      <c r="G144">
        <v>0.4</v>
      </c>
      <c r="H144">
        <v>3</v>
      </c>
      <c r="I144">
        <v>36.200000000000003</v>
      </c>
      <c r="J144">
        <v>88</v>
      </c>
      <c r="K144" t="str">
        <f>IF(COUNTIFS($A$2:A144, A144, $C$2:C144, C144)&gt;1, "Duplicate", "Unique")</f>
        <v>Unique</v>
      </c>
      <c r="L144" t="str">
        <f t="shared" si="7"/>
        <v>Normal</v>
      </c>
      <c r="M144" t="str">
        <f t="shared" si="8"/>
        <v>Normal</v>
      </c>
      <c r="N144" s="55"/>
    </row>
    <row r="145" spans="1:14" x14ac:dyDescent="0.3">
      <c r="A145" t="s">
        <v>9</v>
      </c>
      <c r="B145" t="s">
        <v>10</v>
      </c>
      <c r="C145" s="2">
        <v>46106</v>
      </c>
      <c r="D145">
        <v>389.4</v>
      </c>
      <c r="E145">
        <v>132.9</v>
      </c>
      <c r="F145" s="8">
        <f t="shared" si="6"/>
        <v>2.9300225733634306</v>
      </c>
      <c r="G145">
        <v>0.7</v>
      </c>
      <c r="H145">
        <v>8</v>
      </c>
      <c r="I145">
        <v>47.1</v>
      </c>
      <c r="J145">
        <v>93.2</v>
      </c>
      <c r="K145" t="str">
        <f>IF(COUNTIFS($A$2:A145, A145, $C$2:C145, C145)&gt;1, "Duplicate", "Unique")</f>
        <v>Duplicate</v>
      </c>
      <c r="L145" t="str">
        <f t="shared" si="7"/>
        <v>Normal</v>
      </c>
      <c r="M145" t="str">
        <f t="shared" si="8"/>
        <v>Suspiciously Low Efficiency</v>
      </c>
      <c r="N145" s="55"/>
    </row>
    <row r="146" spans="1:14" x14ac:dyDescent="0.3">
      <c r="A146" t="s">
        <v>9</v>
      </c>
      <c r="B146" t="s">
        <v>10</v>
      </c>
      <c r="C146" s="2">
        <v>46073</v>
      </c>
      <c r="D146">
        <v>159.80000000000001</v>
      </c>
      <c r="E146">
        <v>31.8</v>
      </c>
      <c r="F146" s="8">
        <f t="shared" si="6"/>
        <v>5.0251572327044025</v>
      </c>
      <c r="G146">
        <v>1</v>
      </c>
      <c r="H146">
        <v>6</v>
      </c>
      <c r="I146">
        <v>34.799999999999997</v>
      </c>
      <c r="J146">
        <v>91.2</v>
      </c>
      <c r="K146" t="str">
        <f>IF(COUNTIFS($A$2:A146, A146, $C$2:C146, C146)&gt;1, "Duplicate", "Unique")</f>
        <v>Unique</v>
      </c>
      <c r="L146" t="str">
        <f t="shared" si="7"/>
        <v>Normal</v>
      </c>
      <c r="M146" t="str">
        <f t="shared" si="8"/>
        <v>Normal</v>
      </c>
      <c r="N146" s="55"/>
    </row>
    <row r="147" spans="1:14" x14ac:dyDescent="0.3">
      <c r="A147" t="s">
        <v>9</v>
      </c>
      <c r="B147" t="s">
        <v>10</v>
      </c>
      <c r="C147" s="2">
        <v>46044</v>
      </c>
      <c r="D147">
        <v>439.5</v>
      </c>
      <c r="E147">
        <v>89.9</v>
      </c>
      <c r="F147" s="8">
        <f t="shared" si="6"/>
        <v>4.8887652947719689</v>
      </c>
      <c r="G147">
        <v>2.5</v>
      </c>
      <c r="H147">
        <v>2</v>
      </c>
      <c r="I147">
        <v>39.5</v>
      </c>
      <c r="J147">
        <v>94.4</v>
      </c>
      <c r="K147" t="str">
        <f>IF(COUNTIFS($A$2:A147, A147, $C$2:C147, C147)&gt;1, "Duplicate", "Unique")</f>
        <v>Unique</v>
      </c>
      <c r="L147" t="str">
        <f t="shared" si="7"/>
        <v>Normal</v>
      </c>
      <c r="M147" t="str">
        <f t="shared" si="8"/>
        <v>Normal</v>
      </c>
      <c r="N147" s="55"/>
    </row>
    <row r="148" spans="1:14" x14ac:dyDescent="0.3">
      <c r="A148" t="s">
        <v>9</v>
      </c>
      <c r="B148" t="s">
        <v>10</v>
      </c>
      <c r="C148" s="2">
        <v>46050</v>
      </c>
      <c r="D148">
        <v>268.10000000000002</v>
      </c>
      <c r="E148">
        <v>54.5</v>
      </c>
      <c r="F148" s="8">
        <f t="shared" si="6"/>
        <v>4.9192660550458722</v>
      </c>
      <c r="G148">
        <v>3.6</v>
      </c>
      <c r="H148">
        <v>1</v>
      </c>
      <c r="I148">
        <v>37.200000000000003</v>
      </c>
      <c r="J148">
        <v>99.5</v>
      </c>
      <c r="K148" t="str">
        <f>IF(COUNTIFS($A$2:A148, A148, $C$2:C148, C148)&gt;1, "Duplicate", "Unique")</f>
        <v>Unique</v>
      </c>
      <c r="L148" t="str">
        <f t="shared" si="7"/>
        <v>Normal</v>
      </c>
      <c r="M148" t="str">
        <f t="shared" si="8"/>
        <v>Normal</v>
      </c>
      <c r="N148" s="55"/>
    </row>
    <row r="149" spans="1:14" x14ac:dyDescent="0.3">
      <c r="A149" t="s">
        <v>9</v>
      </c>
      <c r="B149" t="s">
        <v>10</v>
      </c>
      <c r="C149" s="2">
        <v>46094</v>
      </c>
      <c r="D149">
        <v>106.8</v>
      </c>
      <c r="E149">
        <v>29.7</v>
      </c>
      <c r="F149" s="8">
        <f t="shared" si="6"/>
        <v>3.595959595959596</v>
      </c>
      <c r="G149">
        <v>4.3</v>
      </c>
      <c r="H149">
        <v>5</v>
      </c>
      <c r="I149">
        <v>69.400000000000006</v>
      </c>
      <c r="J149">
        <v>97.2</v>
      </c>
      <c r="K149" t="str">
        <f>IF(COUNTIFS($A$2:A149, A149, $C$2:C149, C149)&gt;1, "Duplicate", "Unique")</f>
        <v>Unique</v>
      </c>
      <c r="L149" t="str">
        <f t="shared" si="7"/>
        <v>Normal</v>
      </c>
      <c r="M149" t="str">
        <f t="shared" si="8"/>
        <v>Normal</v>
      </c>
      <c r="N149" s="55"/>
    </row>
    <row r="150" spans="1:14" x14ac:dyDescent="0.3">
      <c r="A150" t="s">
        <v>9</v>
      </c>
      <c r="B150" t="s">
        <v>10</v>
      </c>
      <c r="C150" s="2">
        <v>46059</v>
      </c>
      <c r="D150">
        <v>179.6</v>
      </c>
      <c r="E150">
        <v>38</v>
      </c>
      <c r="F150" s="8">
        <f t="shared" si="6"/>
        <v>4.7263157894736842</v>
      </c>
      <c r="G150">
        <v>3.3</v>
      </c>
      <c r="H150">
        <v>4</v>
      </c>
      <c r="I150">
        <v>34.1</v>
      </c>
      <c r="J150">
        <v>85.2</v>
      </c>
      <c r="K150" t="str">
        <f>IF(COUNTIFS($A$2:A150, A150, $C$2:C150, C150)&gt;1, "Duplicate", "Unique")</f>
        <v>Duplicate</v>
      </c>
      <c r="L150" t="str">
        <f t="shared" si="7"/>
        <v>Normal</v>
      </c>
      <c r="M150" t="str">
        <f t="shared" si="8"/>
        <v>Normal</v>
      </c>
      <c r="N150" s="55"/>
    </row>
    <row r="151" spans="1:14" x14ac:dyDescent="0.3">
      <c r="A151" t="s">
        <v>9</v>
      </c>
      <c r="B151" t="s">
        <v>10</v>
      </c>
      <c r="C151" s="2">
        <v>46104</v>
      </c>
      <c r="D151">
        <v>293.3</v>
      </c>
      <c r="E151">
        <v>63.5</v>
      </c>
      <c r="F151" s="8">
        <f t="shared" si="6"/>
        <v>4.6188976377952757</v>
      </c>
      <c r="G151">
        <v>3.2</v>
      </c>
      <c r="H151">
        <v>7</v>
      </c>
      <c r="I151">
        <v>69.7</v>
      </c>
      <c r="J151">
        <v>87.5</v>
      </c>
      <c r="K151" t="str">
        <f>IF(COUNTIFS($A$2:A151, A151, $C$2:C151, C151)&gt;1, "Duplicate", "Unique")</f>
        <v>Unique</v>
      </c>
      <c r="L151" t="str">
        <f t="shared" si="7"/>
        <v>Normal</v>
      </c>
      <c r="M151" t="str">
        <f t="shared" si="8"/>
        <v>Normal</v>
      </c>
      <c r="N151" s="55"/>
    </row>
    <row r="152" spans="1:14" x14ac:dyDescent="0.3">
      <c r="A152" t="s">
        <v>9</v>
      </c>
      <c r="B152" t="s">
        <v>10</v>
      </c>
      <c r="C152" s="2">
        <v>46052</v>
      </c>
      <c r="D152">
        <v>356.6</v>
      </c>
      <c r="E152">
        <v>70</v>
      </c>
      <c r="F152" s="8">
        <f t="shared" si="6"/>
        <v>5.0942857142857143</v>
      </c>
      <c r="G152">
        <v>4.2</v>
      </c>
      <c r="H152">
        <v>7</v>
      </c>
      <c r="I152">
        <v>32.4</v>
      </c>
      <c r="J152">
        <v>92.9</v>
      </c>
      <c r="K152" t="str">
        <f>IF(COUNTIFS($A$2:A152, A152, $C$2:C152, C152)&gt;1, "Duplicate", "Unique")</f>
        <v>Duplicate</v>
      </c>
      <c r="L152" t="str">
        <f t="shared" si="7"/>
        <v>Normal</v>
      </c>
      <c r="M152" t="str">
        <f t="shared" si="8"/>
        <v>Normal</v>
      </c>
      <c r="N152" s="55"/>
    </row>
    <row r="153" spans="1:14" x14ac:dyDescent="0.3">
      <c r="A153" t="s">
        <v>9</v>
      </c>
      <c r="B153" t="s">
        <v>10</v>
      </c>
      <c r="C153" s="2">
        <v>46063</v>
      </c>
      <c r="D153">
        <v>259.3</v>
      </c>
      <c r="E153">
        <v>58.8</v>
      </c>
      <c r="F153" s="8">
        <f t="shared" si="6"/>
        <v>4.4098639455782314</v>
      </c>
      <c r="G153">
        <v>0.6</v>
      </c>
      <c r="H153">
        <v>4</v>
      </c>
      <c r="I153">
        <v>52.5</v>
      </c>
      <c r="J153">
        <v>91.9</v>
      </c>
      <c r="K153" t="str">
        <f>IF(COUNTIFS($A$2:A153, A153, $C$2:C153, C153)&gt;1, "Duplicate", "Unique")</f>
        <v>Unique</v>
      </c>
      <c r="L153" t="str">
        <f t="shared" si="7"/>
        <v>Normal</v>
      </c>
      <c r="M153" t="str">
        <f t="shared" si="8"/>
        <v>Normal</v>
      </c>
      <c r="N153" s="55"/>
    </row>
    <row r="154" spans="1:14" x14ac:dyDescent="0.3">
      <c r="A154" t="s">
        <v>9</v>
      </c>
      <c r="B154" t="s">
        <v>10</v>
      </c>
      <c r="C154" s="2">
        <v>46089</v>
      </c>
      <c r="D154">
        <v>363.5</v>
      </c>
      <c r="E154">
        <v>75.5</v>
      </c>
      <c r="F154" s="8">
        <f t="shared" si="6"/>
        <v>4.814569536423841</v>
      </c>
      <c r="G154">
        <v>0.3</v>
      </c>
      <c r="H154">
        <v>5</v>
      </c>
      <c r="I154">
        <v>58.7</v>
      </c>
      <c r="J154">
        <v>88.1</v>
      </c>
      <c r="K154" t="str">
        <f>IF(COUNTIFS($A$2:A154, A154, $C$2:C154, C154)&gt;1, "Duplicate", "Unique")</f>
        <v>Unique</v>
      </c>
      <c r="L154" t="str">
        <f t="shared" si="7"/>
        <v>Normal</v>
      </c>
      <c r="M154" t="str">
        <f t="shared" si="8"/>
        <v>Normal</v>
      </c>
      <c r="N154" s="55"/>
    </row>
    <row r="155" spans="1:14" x14ac:dyDescent="0.3">
      <c r="A155" t="s">
        <v>9</v>
      </c>
      <c r="B155" t="s">
        <v>10</v>
      </c>
      <c r="C155" s="2">
        <v>46024</v>
      </c>
      <c r="D155">
        <v>434.6</v>
      </c>
      <c r="E155">
        <v>100.8</v>
      </c>
      <c r="F155" s="8">
        <f t="shared" si="6"/>
        <v>4.3115079365079367</v>
      </c>
      <c r="G155">
        <v>0.6</v>
      </c>
      <c r="H155">
        <v>6</v>
      </c>
      <c r="I155">
        <v>54.7</v>
      </c>
      <c r="J155">
        <v>89.1</v>
      </c>
      <c r="K155" t="str">
        <f>IF(COUNTIFS($A$2:A155, A155, $C$2:C155, C155)&gt;1, "Duplicate", "Unique")</f>
        <v>Unique</v>
      </c>
      <c r="L155" t="str">
        <f t="shared" si="7"/>
        <v>Normal</v>
      </c>
      <c r="M155" t="str">
        <f t="shared" si="8"/>
        <v>Normal</v>
      </c>
      <c r="N155" s="55"/>
    </row>
    <row r="156" spans="1:14" x14ac:dyDescent="0.3">
      <c r="A156" t="s">
        <v>9</v>
      </c>
      <c r="B156" t="s">
        <v>10</v>
      </c>
      <c r="C156" s="2">
        <v>46027</v>
      </c>
      <c r="D156">
        <v>107</v>
      </c>
      <c r="E156">
        <v>24.6</v>
      </c>
      <c r="F156" s="8">
        <f t="shared" si="6"/>
        <v>4.3495934959349594</v>
      </c>
      <c r="G156">
        <v>1.3</v>
      </c>
      <c r="H156">
        <v>8</v>
      </c>
      <c r="I156">
        <v>30.8</v>
      </c>
      <c r="J156">
        <v>92.5</v>
      </c>
      <c r="K156" t="str">
        <f>IF(COUNTIFS($A$2:A156, A156, $C$2:C156, C156)&gt;1, "Duplicate", "Unique")</f>
        <v>Unique</v>
      </c>
      <c r="L156" t="str">
        <f t="shared" si="7"/>
        <v>Normal</v>
      </c>
      <c r="M156" t="str">
        <f t="shared" si="8"/>
        <v>Normal</v>
      </c>
      <c r="N156" s="55"/>
    </row>
    <row r="157" spans="1:14" x14ac:dyDescent="0.3">
      <c r="A157" t="s">
        <v>9</v>
      </c>
      <c r="B157" t="s">
        <v>10</v>
      </c>
      <c r="C157" s="2">
        <v>46032</v>
      </c>
      <c r="D157">
        <v>411.2</v>
      </c>
      <c r="E157">
        <v>86.6</v>
      </c>
      <c r="F157" s="8">
        <f t="shared" si="6"/>
        <v>4.7482678983833724</v>
      </c>
      <c r="G157">
        <v>2.7</v>
      </c>
      <c r="H157">
        <v>6</v>
      </c>
      <c r="I157">
        <v>48.9</v>
      </c>
      <c r="J157">
        <v>96.2</v>
      </c>
      <c r="K157" t="str">
        <f>IF(COUNTIFS($A$2:A157, A157, $C$2:C157, C157)&gt;1, "Duplicate", "Unique")</f>
        <v>Duplicate</v>
      </c>
      <c r="L157" t="str">
        <f t="shared" si="7"/>
        <v>Normal</v>
      </c>
      <c r="M157" t="str">
        <f t="shared" si="8"/>
        <v>Normal</v>
      </c>
      <c r="N157" s="55"/>
    </row>
    <row r="158" spans="1:14" x14ac:dyDescent="0.3">
      <c r="A158" t="s">
        <v>9</v>
      </c>
      <c r="B158" t="s">
        <v>10</v>
      </c>
      <c r="C158" s="2">
        <v>46044</v>
      </c>
      <c r="D158">
        <v>182.1</v>
      </c>
      <c r="E158">
        <v>38.9</v>
      </c>
      <c r="F158" s="8">
        <f t="shared" si="6"/>
        <v>4.6812339331619537</v>
      </c>
      <c r="G158">
        <v>2.2999999999999998</v>
      </c>
      <c r="H158">
        <v>4</v>
      </c>
      <c r="I158">
        <v>53.4</v>
      </c>
      <c r="J158">
        <v>94.4</v>
      </c>
      <c r="K158" t="str">
        <f>IF(COUNTIFS($A$2:A158, A158, $C$2:C158, C158)&gt;1, "Duplicate", "Unique")</f>
        <v>Duplicate</v>
      </c>
      <c r="L158" t="str">
        <f t="shared" si="7"/>
        <v>Normal</v>
      </c>
      <c r="M158" t="str">
        <f t="shared" si="8"/>
        <v>Normal</v>
      </c>
      <c r="N158" s="55"/>
    </row>
    <row r="159" spans="1:14" x14ac:dyDescent="0.3">
      <c r="A159" t="s">
        <v>9</v>
      </c>
      <c r="B159" t="s">
        <v>10</v>
      </c>
      <c r="C159" s="2">
        <v>46070</v>
      </c>
      <c r="D159">
        <v>269.60000000000002</v>
      </c>
      <c r="E159">
        <v>61.9</v>
      </c>
      <c r="F159" s="8">
        <f t="shared" si="6"/>
        <v>4.3554119547657519</v>
      </c>
      <c r="G159">
        <v>3.8</v>
      </c>
      <c r="H159">
        <v>3</v>
      </c>
      <c r="I159">
        <v>56.2</v>
      </c>
      <c r="J159">
        <v>87.2</v>
      </c>
      <c r="K159" t="str">
        <f>IF(COUNTIFS($A$2:A159, A159, $C$2:C159, C159)&gt;1, "Duplicate", "Unique")</f>
        <v>Unique</v>
      </c>
      <c r="L159" t="str">
        <f t="shared" si="7"/>
        <v>Normal</v>
      </c>
      <c r="M159" t="str">
        <f t="shared" si="8"/>
        <v>Normal</v>
      </c>
      <c r="N159" s="55"/>
    </row>
    <row r="160" spans="1:14" x14ac:dyDescent="0.3">
      <c r="A160" t="s">
        <v>9</v>
      </c>
      <c r="B160" t="s">
        <v>10</v>
      </c>
      <c r="C160" s="2">
        <v>46099</v>
      </c>
      <c r="D160">
        <v>358.5</v>
      </c>
      <c r="E160">
        <v>84</v>
      </c>
      <c r="F160" s="8">
        <f t="shared" si="6"/>
        <v>4.2678571428571432</v>
      </c>
      <c r="G160">
        <v>4</v>
      </c>
      <c r="H160">
        <v>5</v>
      </c>
      <c r="I160">
        <v>42.2</v>
      </c>
      <c r="J160">
        <v>95.5</v>
      </c>
      <c r="K160" t="str">
        <f>IF(COUNTIFS($A$2:A160, A160, $C$2:C160, C160)&gt;1, "Duplicate", "Unique")</f>
        <v>Unique</v>
      </c>
      <c r="L160" t="str">
        <f t="shared" si="7"/>
        <v>Normal</v>
      </c>
      <c r="M160" t="str">
        <f t="shared" si="8"/>
        <v>Normal</v>
      </c>
      <c r="N160" s="55"/>
    </row>
    <row r="161" spans="1:14" x14ac:dyDescent="0.3">
      <c r="A161" t="s">
        <v>9</v>
      </c>
      <c r="B161" t="s">
        <v>10</v>
      </c>
      <c r="C161" s="2">
        <v>46026</v>
      </c>
      <c r="D161">
        <v>220</v>
      </c>
      <c r="E161">
        <v>55</v>
      </c>
      <c r="F161" s="8">
        <f t="shared" si="6"/>
        <v>4</v>
      </c>
      <c r="G161">
        <v>2</v>
      </c>
      <c r="H161">
        <v>4</v>
      </c>
      <c r="I161">
        <v>50</v>
      </c>
      <c r="J161">
        <v>40</v>
      </c>
      <c r="K161" t="str">
        <f>IF(COUNTIFS($A$2:A161, A161, $C$2:C161, C161)&gt;1, "Duplicate", "Unique")</f>
        <v>Duplicate</v>
      </c>
      <c r="L161" t="str">
        <f t="shared" si="7"/>
        <v>Normal</v>
      </c>
      <c r="M161" t="str">
        <f t="shared" si="8"/>
        <v>Normal</v>
      </c>
      <c r="N161" s="55"/>
    </row>
    <row r="162" spans="1:14" x14ac:dyDescent="0.3">
      <c r="A162" t="s">
        <v>9</v>
      </c>
      <c r="B162" t="s">
        <v>10</v>
      </c>
      <c r="C162" s="2">
        <v>46026</v>
      </c>
      <c r="D162">
        <v>354.4</v>
      </c>
      <c r="E162">
        <v>102.4</v>
      </c>
      <c r="F162" s="8">
        <f t="shared" si="6"/>
        <v>3.4609374999999996</v>
      </c>
      <c r="G162">
        <v>0.8</v>
      </c>
      <c r="H162">
        <v>2</v>
      </c>
      <c r="I162">
        <v>60.5</v>
      </c>
      <c r="J162">
        <v>98.4</v>
      </c>
      <c r="K162" t="str">
        <f>IF(COUNTIFS($A$2:A162, A162, $C$2:C162, C162)&gt;1, "Duplicate", "Unique")</f>
        <v>Duplicate</v>
      </c>
      <c r="L162" t="str">
        <f t="shared" si="7"/>
        <v>Normal</v>
      </c>
      <c r="M162" t="str">
        <f t="shared" si="8"/>
        <v>Normal</v>
      </c>
      <c r="N162" s="55"/>
    </row>
    <row r="163" spans="1:14" x14ac:dyDescent="0.3">
      <c r="A163" t="s">
        <v>25</v>
      </c>
      <c r="B163" t="s">
        <v>26</v>
      </c>
      <c r="C163" s="2">
        <v>46088</v>
      </c>
      <c r="D163">
        <v>262.60000000000002</v>
      </c>
      <c r="E163">
        <v>54.2</v>
      </c>
      <c r="F163" s="8">
        <f t="shared" si="6"/>
        <v>4.8450184501845017</v>
      </c>
      <c r="G163">
        <v>3.9</v>
      </c>
      <c r="H163">
        <v>3</v>
      </c>
      <c r="I163">
        <v>58.2</v>
      </c>
      <c r="J163">
        <v>96.9</v>
      </c>
      <c r="K163" t="str">
        <f>IF(COUNTIFS($A$2:A163, A163, $C$2:C163, C163)&gt;1, "Duplicate", "Unique")</f>
        <v>Unique</v>
      </c>
      <c r="L163" t="str">
        <f t="shared" si="7"/>
        <v>Normal</v>
      </c>
      <c r="M163" t="str">
        <f t="shared" si="8"/>
        <v>Normal</v>
      </c>
      <c r="N163" s="55"/>
    </row>
    <row r="164" spans="1:14" x14ac:dyDescent="0.3">
      <c r="A164" t="s">
        <v>25</v>
      </c>
      <c r="B164" t="s">
        <v>26</v>
      </c>
      <c r="C164" s="2">
        <v>46077</v>
      </c>
      <c r="D164">
        <v>147.9</v>
      </c>
      <c r="E164">
        <v>36.5</v>
      </c>
      <c r="F164" s="8">
        <f t="shared" si="6"/>
        <v>4.0520547945205481</v>
      </c>
      <c r="G164">
        <v>4</v>
      </c>
      <c r="H164">
        <v>2</v>
      </c>
      <c r="I164">
        <v>49.9</v>
      </c>
      <c r="J164">
        <v>97.9</v>
      </c>
      <c r="K164" t="str">
        <f>IF(COUNTIFS($A$2:A164, A164, $C$2:C164, C164)&gt;1, "Duplicate", "Unique")</f>
        <v>Unique</v>
      </c>
      <c r="L164" t="str">
        <f t="shared" si="7"/>
        <v>Normal</v>
      </c>
      <c r="M164" t="str">
        <f t="shared" si="8"/>
        <v>Normal</v>
      </c>
      <c r="N164" s="55"/>
    </row>
    <row r="165" spans="1:14" x14ac:dyDescent="0.3">
      <c r="A165" t="s">
        <v>25</v>
      </c>
      <c r="B165" t="s">
        <v>26</v>
      </c>
      <c r="C165" s="2">
        <v>46050</v>
      </c>
      <c r="D165">
        <v>103.8</v>
      </c>
      <c r="E165">
        <v>26.6</v>
      </c>
      <c r="F165" s="8">
        <f t="shared" si="6"/>
        <v>3.9022556390977439</v>
      </c>
      <c r="G165">
        <v>2.5</v>
      </c>
      <c r="H165">
        <v>7</v>
      </c>
      <c r="I165">
        <v>32.799999999999997</v>
      </c>
      <c r="J165">
        <v>97.5</v>
      </c>
      <c r="K165" t="str">
        <f>IF(COUNTIFS($A$2:A165, A165, $C$2:C165, C165)&gt;1, "Duplicate", "Unique")</f>
        <v>Unique</v>
      </c>
      <c r="L165" t="str">
        <f t="shared" si="7"/>
        <v>Normal</v>
      </c>
      <c r="M165" t="str">
        <f t="shared" si="8"/>
        <v>Normal</v>
      </c>
      <c r="N165" s="55"/>
    </row>
    <row r="166" spans="1:14" x14ac:dyDescent="0.3">
      <c r="A166" t="s">
        <v>25</v>
      </c>
      <c r="B166" t="s">
        <v>26</v>
      </c>
      <c r="C166" s="2">
        <v>46078</v>
      </c>
      <c r="D166">
        <v>145.19999999999999</v>
      </c>
      <c r="E166">
        <v>34.5</v>
      </c>
      <c r="F166" s="8">
        <f t="shared" si="6"/>
        <v>4.2086956521739127</v>
      </c>
      <c r="G166">
        <v>3</v>
      </c>
      <c r="H166">
        <v>8</v>
      </c>
      <c r="I166">
        <v>50.9</v>
      </c>
      <c r="J166">
        <v>97.4</v>
      </c>
      <c r="K166" t="str">
        <f>IF(COUNTIFS($A$2:A166, A166, $C$2:C166, C166)&gt;1, "Duplicate", "Unique")</f>
        <v>Unique</v>
      </c>
      <c r="L166" t="str">
        <f t="shared" si="7"/>
        <v>Normal</v>
      </c>
      <c r="M166" t="str">
        <f t="shared" si="8"/>
        <v>Normal</v>
      </c>
      <c r="N166" s="55"/>
    </row>
    <row r="167" spans="1:14" x14ac:dyDescent="0.3">
      <c r="A167" t="s">
        <v>25</v>
      </c>
      <c r="B167" t="s">
        <v>26</v>
      </c>
      <c r="C167" s="2">
        <v>46057</v>
      </c>
      <c r="D167">
        <v>385.9</v>
      </c>
      <c r="E167">
        <v>128.9</v>
      </c>
      <c r="F167" s="8">
        <f t="shared" si="6"/>
        <v>2.993793638479441</v>
      </c>
      <c r="G167">
        <v>0.9</v>
      </c>
      <c r="H167">
        <v>5</v>
      </c>
      <c r="I167">
        <v>56.8</v>
      </c>
      <c r="J167">
        <v>97.4</v>
      </c>
      <c r="K167" t="str">
        <f>IF(COUNTIFS($A$2:A167, A167, $C$2:C167, C167)&gt;1, "Duplicate", "Unique")</f>
        <v>Unique</v>
      </c>
      <c r="L167" t="str">
        <f t="shared" si="7"/>
        <v>Normal</v>
      </c>
      <c r="M167" t="str">
        <f t="shared" si="8"/>
        <v>Suspiciously Low Efficiency</v>
      </c>
      <c r="N167" s="55"/>
    </row>
    <row r="168" spans="1:14" x14ac:dyDescent="0.3">
      <c r="A168" t="s">
        <v>25</v>
      </c>
      <c r="B168" t="s">
        <v>26</v>
      </c>
      <c r="C168" s="2">
        <v>46086</v>
      </c>
      <c r="D168">
        <v>425.1</v>
      </c>
      <c r="E168">
        <v>118.5</v>
      </c>
      <c r="F168" s="8">
        <f t="shared" si="6"/>
        <v>3.5873417721518988</v>
      </c>
      <c r="G168">
        <v>3.2</v>
      </c>
      <c r="H168">
        <v>7</v>
      </c>
      <c r="I168">
        <v>67.599999999999994</v>
      </c>
      <c r="J168">
        <v>99.7</v>
      </c>
      <c r="K168" t="str">
        <f>IF(COUNTIFS($A$2:A168, A168, $C$2:C168, C168)&gt;1, "Duplicate", "Unique")</f>
        <v>Unique</v>
      </c>
      <c r="L168" t="str">
        <f t="shared" si="7"/>
        <v>Normal</v>
      </c>
      <c r="M168" t="str">
        <f t="shared" si="8"/>
        <v>Normal</v>
      </c>
      <c r="N168" s="55"/>
    </row>
    <row r="169" spans="1:14" x14ac:dyDescent="0.3">
      <c r="A169" t="s">
        <v>25</v>
      </c>
      <c r="B169" t="s">
        <v>26</v>
      </c>
      <c r="C169" s="2">
        <v>46086</v>
      </c>
      <c r="D169">
        <v>437</v>
      </c>
      <c r="E169">
        <v>139.1</v>
      </c>
      <c r="F169" s="8">
        <f t="shared" si="6"/>
        <v>3.1416247304097773</v>
      </c>
      <c r="G169">
        <v>4.4000000000000004</v>
      </c>
      <c r="H169">
        <v>6</v>
      </c>
      <c r="I169">
        <v>69.099999999999994</v>
      </c>
      <c r="J169">
        <v>98.1</v>
      </c>
      <c r="K169" t="str">
        <f>IF(COUNTIFS($A$2:A169, A169, $C$2:C169, C169)&gt;1, "Duplicate", "Unique")</f>
        <v>Duplicate</v>
      </c>
      <c r="L169" t="str">
        <f t="shared" si="7"/>
        <v>Normal</v>
      </c>
      <c r="M169" t="str">
        <f t="shared" si="8"/>
        <v>Normal</v>
      </c>
      <c r="N169" s="55"/>
    </row>
    <row r="170" spans="1:14" x14ac:dyDescent="0.3">
      <c r="A170" t="s">
        <v>25</v>
      </c>
      <c r="B170" t="s">
        <v>26</v>
      </c>
      <c r="C170" s="2">
        <v>46103</v>
      </c>
      <c r="D170">
        <v>116</v>
      </c>
      <c r="E170">
        <v>25.8</v>
      </c>
      <c r="F170" s="8">
        <f t="shared" si="6"/>
        <v>4.4961240310077519</v>
      </c>
      <c r="G170">
        <v>0.4</v>
      </c>
      <c r="H170">
        <v>8</v>
      </c>
      <c r="I170">
        <v>31.5</v>
      </c>
      <c r="J170">
        <v>90.5</v>
      </c>
      <c r="K170" t="str">
        <f>IF(COUNTIFS($A$2:A170, A170, $C$2:C170, C170)&gt;1, "Duplicate", "Unique")</f>
        <v>Unique</v>
      </c>
      <c r="L170" t="str">
        <f t="shared" si="7"/>
        <v>Normal</v>
      </c>
      <c r="M170" t="str">
        <f t="shared" si="8"/>
        <v>Normal</v>
      </c>
      <c r="N170" s="55"/>
    </row>
    <row r="171" spans="1:14" x14ac:dyDescent="0.3">
      <c r="A171" t="s">
        <v>25</v>
      </c>
      <c r="B171" t="s">
        <v>26</v>
      </c>
      <c r="C171" s="2">
        <v>46034</v>
      </c>
      <c r="D171">
        <v>416.6</v>
      </c>
      <c r="E171">
        <v>113.1</v>
      </c>
      <c r="F171" s="8">
        <f t="shared" si="6"/>
        <v>3.6834659593280286</v>
      </c>
      <c r="G171">
        <v>2</v>
      </c>
      <c r="H171">
        <v>4</v>
      </c>
      <c r="I171">
        <v>35.9</v>
      </c>
      <c r="J171">
        <v>93.1</v>
      </c>
      <c r="K171" t="str">
        <f>IF(COUNTIFS($A$2:A171, A171, $C$2:C171, C171)&gt;1, "Duplicate", "Unique")</f>
        <v>Unique</v>
      </c>
      <c r="L171" t="str">
        <f t="shared" si="7"/>
        <v>Normal</v>
      </c>
      <c r="M171" t="str">
        <f t="shared" si="8"/>
        <v>Normal</v>
      </c>
      <c r="N171" s="55"/>
    </row>
    <row r="172" spans="1:14" x14ac:dyDescent="0.3">
      <c r="A172" t="s">
        <v>25</v>
      </c>
      <c r="B172" t="s">
        <v>26</v>
      </c>
      <c r="C172" s="2">
        <v>46079</v>
      </c>
      <c r="D172">
        <v>105.3</v>
      </c>
      <c r="E172">
        <v>26.4</v>
      </c>
      <c r="F172" s="8">
        <f t="shared" si="6"/>
        <v>3.9886363636363638</v>
      </c>
      <c r="G172">
        <v>1.5</v>
      </c>
      <c r="H172">
        <v>5</v>
      </c>
      <c r="I172">
        <v>56.6</v>
      </c>
      <c r="J172">
        <v>90.3</v>
      </c>
      <c r="K172" t="str">
        <f>IF(COUNTIFS($A$2:A172, A172, $C$2:C172, C172)&gt;1, "Duplicate", "Unique")</f>
        <v>Unique</v>
      </c>
      <c r="L172" t="str">
        <f t="shared" si="7"/>
        <v>Normal</v>
      </c>
      <c r="M172" t="str">
        <f t="shared" si="8"/>
        <v>Normal</v>
      </c>
      <c r="N172" s="55"/>
    </row>
    <row r="173" spans="1:14" x14ac:dyDescent="0.3">
      <c r="A173" t="s">
        <v>25</v>
      </c>
      <c r="B173" t="s">
        <v>26</v>
      </c>
      <c r="C173" s="2">
        <v>46108</v>
      </c>
      <c r="D173">
        <v>340</v>
      </c>
      <c r="E173">
        <v>63.5</v>
      </c>
      <c r="F173" s="8">
        <f t="shared" si="6"/>
        <v>5.3543307086614176</v>
      </c>
      <c r="G173">
        <v>4.5</v>
      </c>
      <c r="H173">
        <v>2</v>
      </c>
      <c r="I173">
        <v>59.1</v>
      </c>
      <c r="J173">
        <v>91.4</v>
      </c>
      <c r="K173" t="str">
        <f>IF(COUNTIFS($A$2:A173, A173, $C$2:C173, C173)&gt;1, "Duplicate", "Unique")</f>
        <v>Unique</v>
      </c>
      <c r="L173" t="str">
        <f t="shared" si="7"/>
        <v>Normal</v>
      </c>
      <c r="M173" t="str">
        <f t="shared" si="8"/>
        <v>Normal</v>
      </c>
      <c r="N173" s="55"/>
    </row>
    <row r="174" spans="1:14" x14ac:dyDescent="0.3">
      <c r="A174" t="s">
        <v>25</v>
      </c>
      <c r="B174" t="s">
        <v>26</v>
      </c>
      <c r="C174" s="2">
        <v>46032</v>
      </c>
      <c r="D174">
        <v>189.4</v>
      </c>
      <c r="E174">
        <v>38.4</v>
      </c>
      <c r="F174" s="8">
        <f t="shared" si="6"/>
        <v>4.932291666666667</v>
      </c>
      <c r="G174">
        <v>2.4</v>
      </c>
      <c r="H174">
        <v>1</v>
      </c>
      <c r="I174">
        <v>59.8</v>
      </c>
      <c r="J174">
        <v>98.1</v>
      </c>
      <c r="K174" t="str">
        <f>IF(COUNTIFS($A$2:A174, A174, $C$2:C174, C174)&gt;1, "Duplicate", "Unique")</f>
        <v>Unique</v>
      </c>
      <c r="L174" t="str">
        <f t="shared" si="7"/>
        <v>Normal</v>
      </c>
      <c r="M174" t="str">
        <f t="shared" si="8"/>
        <v>Normal</v>
      </c>
      <c r="N174" s="55"/>
    </row>
    <row r="175" spans="1:14" x14ac:dyDescent="0.3">
      <c r="A175" t="s">
        <v>25</v>
      </c>
      <c r="B175" t="s">
        <v>26</v>
      </c>
      <c r="C175" s="2">
        <v>46060</v>
      </c>
      <c r="D175">
        <v>238.8</v>
      </c>
      <c r="E175">
        <v>53.5</v>
      </c>
      <c r="F175" s="8">
        <f t="shared" si="6"/>
        <v>4.4635514018691591</v>
      </c>
      <c r="G175">
        <v>1.2</v>
      </c>
      <c r="H175">
        <v>7</v>
      </c>
      <c r="I175">
        <v>38.4</v>
      </c>
      <c r="J175">
        <v>95</v>
      </c>
      <c r="K175" t="str">
        <f>IF(COUNTIFS($A$2:A175, A175, $C$2:C175, C175)&gt;1, "Duplicate", "Unique")</f>
        <v>Unique</v>
      </c>
      <c r="L175" t="str">
        <f t="shared" si="7"/>
        <v>Normal</v>
      </c>
      <c r="M175" t="str">
        <f t="shared" si="8"/>
        <v>Normal</v>
      </c>
      <c r="N175" s="55"/>
    </row>
    <row r="176" spans="1:14" x14ac:dyDescent="0.3">
      <c r="A176" t="s">
        <v>25</v>
      </c>
      <c r="B176" t="s">
        <v>26</v>
      </c>
      <c r="C176" s="2">
        <v>46084</v>
      </c>
      <c r="D176">
        <v>136.69999999999999</v>
      </c>
      <c r="E176">
        <v>28.4</v>
      </c>
      <c r="F176" s="8">
        <f t="shared" si="6"/>
        <v>4.813380281690141</v>
      </c>
      <c r="G176">
        <v>2.8</v>
      </c>
      <c r="H176">
        <v>7</v>
      </c>
      <c r="I176">
        <v>61.6</v>
      </c>
      <c r="J176">
        <v>98.7</v>
      </c>
      <c r="K176" t="str">
        <f>IF(COUNTIFS($A$2:A176, A176, $C$2:C176, C176)&gt;1, "Duplicate", "Unique")</f>
        <v>Unique</v>
      </c>
      <c r="L176" t="str">
        <f t="shared" si="7"/>
        <v>Normal</v>
      </c>
      <c r="M176" t="str">
        <f t="shared" si="8"/>
        <v>Normal</v>
      </c>
      <c r="N176" s="55"/>
    </row>
    <row r="177" spans="1:14" x14ac:dyDescent="0.3">
      <c r="A177" t="s">
        <v>25</v>
      </c>
      <c r="B177" t="s">
        <v>26</v>
      </c>
      <c r="C177" s="2">
        <v>46105</v>
      </c>
      <c r="D177">
        <v>442</v>
      </c>
      <c r="E177">
        <v>97.3</v>
      </c>
      <c r="F177" s="8">
        <f t="shared" si="6"/>
        <v>4.5426515930113052</v>
      </c>
      <c r="G177">
        <v>2</v>
      </c>
      <c r="H177">
        <v>7</v>
      </c>
      <c r="I177">
        <v>50.2</v>
      </c>
      <c r="J177">
        <v>98.8</v>
      </c>
      <c r="K177" t="str">
        <f>IF(COUNTIFS($A$2:A177, A177, $C$2:C177, C177)&gt;1, "Duplicate", "Unique")</f>
        <v>Unique</v>
      </c>
      <c r="L177" t="str">
        <f t="shared" si="7"/>
        <v>Normal</v>
      </c>
      <c r="M177" t="str">
        <f t="shared" si="8"/>
        <v>Normal</v>
      </c>
      <c r="N177" s="55"/>
    </row>
    <row r="178" spans="1:14" x14ac:dyDescent="0.3">
      <c r="A178" t="s">
        <v>25</v>
      </c>
      <c r="B178" t="s">
        <v>26</v>
      </c>
      <c r="C178" s="2">
        <v>46073</v>
      </c>
      <c r="D178">
        <v>423.7</v>
      </c>
      <c r="E178">
        <v>117.4</v>
      </c>
      <c r="F178" s="8">
        <f t="shared" si="6"/>
        <v>3.6090289608177168</v>
      </c>
      <c r="G178">
        <v>2.6</v>
      </c>
      <c r="H178">
        <v>7</v>
      </c>
      <c r="I178">
        <v>60.5</v>
      </c>
      <c r="J178">
        <v>93.1</v>
      </c>
      <c r="K178" t="str">
        <f>IF(COUNTIFS($A$2:A178, A178, $C$2:C178, C178)&gt;1, "Duplicate", "Unique")</f>
        <v>Unique</v>
      </c>
      <c r="L178" t="str">
        <f t="shared" si="7"/>
        <v>Normal</v>
      </c>
      <c r="M178" t="str">
        <f t="shared" si="8"/>
        <v>Normal</v>
      </c>
      <c r="N178" s="55"/>
    </row>
    <row r="179" spans="1:14" x14ac:dyDescent="0.3">
      <c r="A179" t="s">
        <v>25</v>
      </c>
      <c r="B179" t="s">
        <v>26</v>
      </c>
      <c r="C179" s="2">
        <v>46072</v>
      </c>
      <c r="D179">
        <v>197.2</v>
      </c>
      <c r="E179">
        <v>63.9</v>
      </c>
      <c r="F179" s="8">
        <f t="shared" si="6"/>
        <v>3.0860719874804379</v>
      </c>
      <c r="G179">
        <v>0.2</v>
      </c>
      <c r="H179">
        <v>5</v>
      </c>
      <c r="I179">
        <v>50</v>
      </c>
      <c r="J179">
        <v>96.4</v>
      </c>
      <c r="K179" t="str">
        <f>IF(COUNTIFS($A$2:A179, A179, $C$2:C179, C179)&gt;1, "Duplicate", "Unique")</f>
        <v>Unique</v>
      </c>
      <c r="L179" t="str">
        <f t="shared" si="7"/>
        <v>Normal</v>
      </c>
      <c r="M179" t="str">
        <f t="shared" si="8"/>
        <v>Normal</v>
      </c>
      <c r="N179" s="55"/>
    </row>
    <row r="180" spans="1:14" x14ac:dyDescent="0.3">
      <c r="A180" t="s">
        <v>25</v>
      </c>
      <c r="B180" t="s">
        <v>26</v>
      </c>
      <c r="C180" s="2">
        <v>46088</v>
      </c>
      <c r="D180">
        <v>223.7</v>
      </c>
      <c r="E180">
        <v>50.7</v>
      </c>
      <c r="F180" s="8">
        <f t="shared" si="6"/>
        <v>4.4122287968441807</v>
      </c>
      <c r="G180">
        <v>2.7</v>
      </c>
      <c r="H180">
        <v>7</v>
      </c>
      <c r="I180">
        <v>38.4</v>
      </c>
      <c r="J180">
        <v>94.5</v>
      </c>
      <c r="K180" t="str">
        <f>IF(COUNTIFS($A$2:A180, A180, $C$2:C180, C180)&gt;1, "Duplicate", "Unique")</f>
        <v>Duplicate</v>
      </c>
      <c r="L180" t="str">
        <f t="shared" si="7"/>
        <v>Normal</v>
      </c>
      <c r="M180" t="str">
        <f t="shared" si="8"/>
        <v>Normal</v>
      </c>
      <c r="N180" s="55"/>
    </row>
    <row r="181" spans="1:14" x14ac:dyDescent="0.3">
      <c r="A181" t="s">
        <v>25</v>
      </c>
      <c r="B181" t="s">
        <v>26</v>
      </c>
      <c r="C181" s="2">
        <v>46084</v>
      </c>
      <c r="D181">
        <v>106.2</v>
      </c>
      <c r="E181">
        <v>27.7</v>
      </c>
      <c r="F181" s="8">
        <f t="shared" si="6"/>
        <v>3.8339350180505418</v>
      </c>
      <c r="G181">
        <v>3.3</v>
      </c>
      <c r="H181">
        <v>2</v>
      </c>
      <c r="I181">
        <v>34.6</v>
      </c>
      <c r="J181">
        <v>90.5</v>
      </c>
      <c r="K181" t="str">
        <f>IF(COUNTIFS($A$2:A181, A181, $C$2:C181, C181)&gt;1, "Duplicate", "Unique")</f>
        <v>Duplicate</v>
      </c>
      <c r="L181" t="str">
        <f t="shared" si="7"/>
        <v>Normal</v>
      </c>
      <c r="M181" t="str">
        <f t="shared" si="8"/>
        <v>Normal</v>
      </c>
      <c r="N181" s="55"/>
    </row>
    <row r="182" spans="1:14" x14ac:dyDescent="0.3">
      <c r="A182" t="s">
        <v>25</v>
      </c>
      <c r="B182" t="s">
        <v>26</v>
      </c>
      <c r="C182" s="2">
        <v>46054</v>
      </c>
      <c r="D182">
        <v>182.5</v>
      </c>
      <c r="E182">
        <v>60.3</v>
      </c>
      <c r="F182" s="8">
        <f t="shared" si="6"/>
        <v>3.0265339966832507</v>
      </c>
      <c r="G182">
        <v>2.6</v>
      </c>
      <c r="H182">
        <v>5</v>
      </c>
      <c r="I182">
        <v>65.099999999999994</v>
      </c>
      <c r="J182">
        <v>95.4</v>
      </c>
      <c r="K182" t="str">
        <f>IF(COUNTIFS($A$2:A182, A182, $C$2:C182, C182)&gt;1, "Duplicate", "Unique")</f>
        <v>Unique</v>
      </c>
      <c r="L182" t="str">
        <f t="shared" si="7"/>
        <v>Normal</v>
      </c>
      <c r="M182" t="str">
        <f t="shared" si="8"/>
        <v>Normal</v>
      </c>
      <c r="N182" s="55"/>
    </row>
    <row r="183" spans="1:14" x14ac:dyDescent="0.3">
      <c r="A183" t="s">
        <v>25</v>
      </c>
      <c r="B183" t="s">
        <v>26</v>
      </c>
      <c r="C183" s="2">
        <v>46053</v>
      </c>
      <c r="D183">
        <v>187.9</v>
      </c>
      <c r="E183">
        <v>36.9</v>
      </c>
      <c r="F183" s="8">
        <f t="shared" si="6"/>
        <v>5.0921409214092144</v>
      </c>
      <c r="G183">
        <v>4.2</v>
      </c>
      <c r="H183">
        <v>7</v>
      </c>
      <c r="I183">
        <v>61.5</v>
      </c>
      <c r="J183">
        <v>96</v>
      </c>
      <c r="K183" t="str">
        <f>IF(COUNTIFS($A$2:A183, A183, $C$2:C183, C183)&gt;1, "Duplicate", "Unique")</f>
        <v>Unique</v>
      </c>
      <c r="L183" t="str">
        <f t="shared" si="7"/>
        <v>Normal</v>
      </c>
      <c r="M183" t="str">
        <f t="shared" si="8"/>
        <v>Normal</v>
      </c>
      <c r="N183" s="55"/>
    </row>
    <row r="184" spans="1:14" x14ac:dyDescent="0.3">
      <c r="A184" t="s">
        <v>25</v>
      </c>
      <c r="B184" t="s">
        <v>26</v>
      </c>
      <c r="C184" s="2">
        <v>46034</v>
      </c>
      <c r="D184">
        <v>343.1</v>
      </c>
      <c r="E184">
        <v>63.4</v>
      </c>
      <c r="F184" s="8">
        <f t="shared" si="6"/>
        <v>5.4116719242902214</v>
      </c>
      <c r="G184">
        <v>1.9</v>
      </c>
      <c r="H184">
        <v>1</v>
      </c>
      <c r="I184">
        <v>60.5</v>
      </c>
      <c r="J184">
        <v>88.9</v>
      </c>
      <c r="K184" t="str">
        <f>IF(COUNTIFS($A$2:A184, A184, $C$2:C184, C184)&gt;1, "Duplicate", "Unique")</f>
        <v>Duplicate</v>
      </c>
      <c r="L184" t="str">
        <f t="shared" si="7"/>
        <v>Normal</v>
      </c>
      <c r="M184" t="str">
        <f t="shared" si="8"/>
        <v>Normal</v>
      </c>
      <c r="N184" s="55"/>
    </row>
    <row r="185" spans="1:14" x14ac:dyDescent="0.3">
      <c r="A185" t="s">
        <v>25</v>
      </c>
      <c r="B185" t="s">
        <v>26</v>
      </c>
      <c r="C185" s="2">
        <v>46038</v>
      </c>
      <c r="D185">
        <v>84.4</v>
      </c>
      <c r="E185">
        <v>16.7</v>
      </c>
      <c r="F185" s="8">
        <f t="shared" si="6"/>
        <v>5.0538922155688626</v>
      </c>
      <c r="G185">
        <v>4.4000000000000004</v>
      </c>
      <c r="H185">
        <v>3</v>
      </c>
      <c r="I185">
        <v>38.9</v>
      </c>
      <c r="J185">
        <v>91</v>
      </c>
      <c r="K185" t="str">
        <f>IF(COUNTIFS($A$2:A185, A185, $C$2:C185, C185)&gt;1, "Duplicate", "Unique")</f>
        <v>Unique</v>
      </c>
      <c r="L185" t="str">
        <f t="shared" si="7"/>
        <v>Normal</v>
      </c>
      <c r="M185" t="str">
        <f t="shared" si="8"/>
        <v>Normal</v>
      </c>
      <c r="N185" s="55"/>
    </row>
    <row r="186" spans="1:14" x14ac:dyDescent="0.3">
      <c r="A186" t="s">
        <v>25</v>
      </c>
      <c r="B186" t="s">
        <v>26</v>
      </c>
      <c r="C186" s="2">
        <v>46034</v>
      </c>
      <c r="D186">
        <v>414.9</v>
      </c>
      <c r="E186">
        <v>82.3</v>
      </c>
      <c r="F186" s="8">
        <f t="shared" si="6"/>
        <v>5.0413122721749692</v>
      </c>
      <c r="G186">
        <v>1.6</v>
      </c>
      <c r="H186">
        <v>1</v>
      </c>
      <c r="I186">
        <v>72.400000000000006</v>
      </c>
      <c r="J186">
        <v>85.8</v>
      </c>
      <c r="K186" t="str">
        <f>IF(COUNTIFS($A$2:A186, A186, $C$2:C186, C186)&gt;1, "Duplicate", "Unique")</f>
        <v>Duplicate</v>
      </c>
      <c r="L186" t="str">
        <f t="shared" si="7"/>
        <v>Normal</v>
      </c>
      <c r="M186" t="str">
        <f t="shared" si="8"/>
        <v>Normal</v>
      </c>
      <c r="N186" s="55"/>
    </row>
    <row r="187" spans="1:14" x14ac:dyDescent="0.3">
      <c r="A187" t="s">
        <v>25</v>
      </c>
      <c r="B187" t="s">
        <v>26</v>
      </c>
      <c r="C187" s="2">
        <v>46029</v>
      </c>
      <c r="D187">
        <v>213.5</v>
      </c>
      <c r="E187">
        <v>54</v>
      </c>
      <c r="F187" s="8">
        <f t="shared" si="6"/>
        <v>3.9537037037037037</v>
      </c>
      <c r="G187">
        <v>1.5</v>
      </c>
      <c r="H187">
        <v>8</v>
      </c>
      <c r="I187">
        <v>39</v>
      </c>
      <c r="J187">
        <v>85.4</v>
      </c>
      <c r="K187" t="str">
        <f>IF(COUNTIFS($A$2:A187, A187, $C$2:C187, C187)&gt;1, "Duplicate", "Unique")</f>
        <v>Unique</v>
      </c>
      <c r="L187" t="str">
        <f t="shared" si="7"/>
        <v>Normal</v>
      </c>
      <c r="M187" t="str">
        <f t="shared" si="8"/>
        <v>Normal</v>
      </c>
      <c r="N187" s="55"/>
    </row>
    <row r="188" spans="1:14" x14ac:dyDescent="0.3">
      <c r="A188" t="s">
        <v>25</v>
      </c>
      <c r="B188" t="s">
        <v>26</v>
      </c>
      <c r="C188" s="2">
        <v>46066</v>
      </c>
      <c r="D188">
        <v>448.6</v>
      </c>
      <c r="E188">
        <v>108.8</v>
      </c>
      <c r="F188" s="8">
        <f t="shared" si="6"/>
        <v>4.1231617647058822</v>
      </c>
      <c r="G188">
        <v>3.4</v>
      </c>
      <c r="H188">
        <v>3</v>
      </c>
      <c r="I188">
        <v>72.7</v>
      </c>
      <c r="J188">
        <v>98.8</v>
      </c>
      <c r="K188" t="str">
        <f>IF(COUNTIFS($A$2:A188, A188, $C$2:C188, C188)&gt;1, "Duplicate", "Unique")</f>
        <v>Unique</v>
      </c>
      <c r="L188" t="str">
        <f t="shared" si="7"/>
        <v>Normal</v>
      </c>
      <c r="M188" t="str">
        <f t="shared" si="8"/>
        <v>Normal</v>
      </c>
      <c r="N188" s="55"/>
    </row>
    <row r="189" spans="1:14" x14ac:dyDescent="0.3">
      <c r="A189" t="s">
        <v>25</v>
      </c>
      <c r="B189" t="s">
        <v>26</v>
      </c>
      <c r="C189" s="2">
        <v>46084</v>
      </c>
      <c r="D189">
        <v>420.5</v>
      </c>
      <c r="E189">
        <v>135.4</v>
      </c>
      <c r="F189" s="8">
        <f t="shared" si="6"/>
        <v>3.1056129985228949</v>
      </c>
      <c r="G189">
        <v>2</v>
      </c>
      <c r="H189">
        <v>1</v>
      </c>
      <c r="I189">
        <v>32.9</v>
      </c>
      <c r="J189">
        <v>94.8</v>
      </c>
      <c r="K189" t="str">
        <f>IF(COUNTIFS($A$2:A189, A189, $C$2:C189, C189)&gt;1, "Duplicate", "Unique")</f>
        <v>Duplicate</v>
      </c>
      <c r="L189" t="str">
        <f t="shared" si="7"/>
        <v>Normal</v>
      </c>
      <c r="M189" t="str">
        <f t="shared" si="8"/>
        <v>Normal</v>
      </c>
      <c r="N189" s="55"/>
    </row>
    <row r="190" spans="1:14" x14ac:dyDescent="0.3">
      <c r="A190" t="s">
        <v>25</v>
      </c>
      <c r="B190" t="s">
        <v>26</v>
      </c>
      <c r="C190" s="2">
        <v>46036</v>
      </c>
      <c r="D190">
        <v>223.3</v>
      </c>
      <c r="E190">
        <v>50.5</v>
      </c>
      <c r="F190" s="8">
        <f t="shared" si="6"/>
        <v>4.4217821782178222</v>
      </c>
      <c r="G190">
        <v>4</v>
      </c>
      <c r="H190">
        <v>7</v>
      </c>
      <c r="I190">
        <v>48.8</v>
      </c>
      <c r="J190">
        <v>94.1</v>
      </c>
      <c r="K190" t="str">
        <f>IF(COUNTIFS($A$2:A190, A190, $C$2:C190, C190)&gt;1, "Duplicate", "Unique")</f>
        <v>Unique</v>
      </c>
      <c r="L190" t="str">
        <f t="shared" si="7"/>
        <v>Normal</v>
      </c>
      <c r="M190" t="str">
        <f t="shared" si="8"/>
        <v>Normal</v>
      </c>
      <c r="N190" s="55"/>
    </row>
    <row r="191" spans="1:14" x14ac:dyDescent="0.3">
      <c r="A191" t="s">
        <v>25</v>
      </c>
      <c r="B191" t="s">
        <v>26</v>
      </c>
      <c r="C191" s="2">
        <v>46026</v>
      </c>
      <c r="D191">
        <v>249.9</v>
      </c>
      <c r="E191">
        <v>67.599999999999994</v>
      </c>
      <c r="F191" s="8">
        <f t="shared" si="6"/>
        <v>3.6967455621301779</v>
      </c>
      <c r="G191">
        <v>0.6</v>
      </c>
      <c r="H191">
        <v>1</v>
      </c>
      <c r="I191">
        <v>38</v>
      </c>
      <c r="J191">
        <v>88.8</v>
      </c>
      <c r="K191" t="str">
        <f>IF(COUNTIFS($A$2:A191, A191, $C$2:C191, C191)&gt;1, "Duplicate", "Unique")</f>
        <v>Unique</v>
      </c>
      <c r="L191" t="str">
        <f t="shared" si="7"/>
        <v>Normal</v>
      </c>
      <c r="M191" t="str">
        <f t="shared" si="8"/>
        <v>Normal</v>
      </c>
      <c r="N191" s="55"/>
    </row>
    <row r="192" spans="1:14" x14ac:dyDescent="0.3">
      <c r="A192" t="s">
        <v>25</v>
      </c>
      <c r="B192" t="s">
        <v>26</v>
      </c>
      <c r="C192" s="2">
        <v>46084</v>
      </c>
      <c r="D192">
        <v>427.5</v>
      </c>
      <c r="E192">
        <v>147</v>
      </c>
      <c r="F192" s="8">
        <f t="shared" si="6"/>
        <v>2.9081632653061225</v>
      </c>
      <c r="G192">
        <v>3.5</v>
      </c>
      <c r="H192">
        <v>4</v>
      </c>
      <c r="I192">
        <v>32.799999999999997</v>
      </c>
      <c r="J192">
        <v>90.5</v>
      </c>
      <c r="K192" t="str">
        <f>IF(COUNTIFS($A$2:A192, A192, $C$2:C192, C192)&gt;1, "Duplicate", "Unique")</f>
        <v>Duplicate</v>
      </c>
      <c r="L192" t="str">
        <f t="shared" si="7"/>
        <v>Normal</v>
      </c>
      <c r="M192" t="str">
        <f t="shared" si="8"/>
        <v>Suspiciously Low Efficiency</v>
      </c>
      <c r="N192" s="55"/>
    </row>
    <row r="193" spans="1:14" x14ac:dyDescent="0.3">
      <c r="A193" t="s">
        <v>25</v>
      </c>
      <c r="B193" t="s">
        <v>26</v>
      </c>
      <c r="C193" s="2">
        <v>46079</v>
      </c>
      <c r="D193">
        <v>141.30000000000001</v>
      </c>
      <c r="E193">
        <v>47</v>
      </c>
      <c r="F193" s="8">
        <f t="shared" si="6"/>
        <v>3.0063829787234044</v>
      </c>
      <c r="G193">
        <v>3</v>
      </c>
      <c r="H193">
        <v>4</v>
      </c>
      <c r="I193">
        <v>36.799999999999997</v>
      </c>
      <c r="J193">
        <v>87.4</v>
      </c>
      <c r="K193" t="str">
        <f>IF(COUNTIFS($A$2:A193, A193, $C$2:C193, C193)&gt;1, "Duplicate", "Unique")</f>
        <v>Duplicate</v>
      </c>
      <c r="L193" t="str">
        <f t="shared" si="7"/>
        <v>Normal</v>
      </c>
      <c r="M193" t="str">
        <f t="shared" si="8"/>
        <v>Normal</v>
      </c>
      <c r="N193" s="55"/>
    </row>
    <row r="194" spans="1:14" x14ac:dyDescent="0.3">
      <c r="A194" t="s">
        <v>25</v>
      </c>
      <c r="B194" t="s">
        <v>26</v>
      </c>
      <c r="C194" s="2">
        <v>46103</v>
      </c>
      <c r="D194">
        <v>269.7</v>
      </c>
      <c r="E194">
        <v>51.8</v>
      </c>
      <c r="F194" s="8">
        <f t="shared" si="6"/>
        <v>5.2065637065637063</v>
      </c>
      <c r="G194">
        <v>0.8</v>
      </c>
      <c r="H194">
        <v>3</v>
      </c>
      <c r="I194">
        <v>41.6</v>
      </c>
      <c r="J194">
        <v>87.7</v>
      </c>
      <c r="K194" t="str">
        <f>IF(COUNTIFS($A$2:A194, A194, $C$2:C194, C194)&gt;1, "Duplicate", "Unique")</f>
        <v>Duplicate</v>
      </c>
      <c r="L194" t="str">
        <f t="shared" si="7"/>
        <v>Normal</v>
      </c>
      <c r="M194" t="str">
        <f t="shared" si="8"/>
        <v>Normal</v>
      </c>
      <c r="N194" s="55"/>
    </row>
    <row r="195" spans="1:14" x14ac:dyDescent="0.3">
      <c r="A195" t="s">
        <v>25</v>
      </c>
      <c r="B195" t="s">
        <v>26</v>
      </c>
      <c r="C195" s="2">
        <v>46067</v>
      </c>
      <c r="D195">
        <v>186.1</v>
      </c>
      <c r="E195">
        <v>43.8</v>
      </c>
      <c r="F195" s="8">
        <f t="shared" ref="F195:F258" si="9">IFERROR(D195/E195,0)</f>
        <v>4.2488584474885842</v>
      </c>
      <c r="G195">
        <v>3.2</v>
      </c>
      <c r="H195">
        <v>8</v>
      </c>
      <c r="I195">
        <v>72.599999999999994</v>
      </c>
      <c r="J195">
        <v>92.2</v>
      </c>
      <c r="K195" t="str">
        <f>IF(COUNTIFS($A$2:A195, A195, $C$2:C195, C195)&gt;1, "Duplicate", "Unique")</f>
        <v>Unique</v>
      </c>
      <c r="L195" t="str">
        <f t="shared" ref="L195:L258" si="10">IF(G195 &gt; (AVERAGE($G$2:$G$811) + (3 * _xlfn.STDEV.P($G$2:$G$811))), "Extreme Idle Outlier", "Normal")</f>
        <v>Normal</v>
      </c>
      <c r="M195" t="str">
        <f t="shared" ref="M195:M258" si="11">IFERROR(IF((D195 / E195) &lt; 3, "Suspiciously Low Efficiency", "Normal"),0)</f>
        <v>Normal</v>
      </c>
      <c r="N195" s="55"/>
    </row>
    <row r="196" spans="1:14" x14ac:dyDescent="0.3">
      <c r="A196" t="s">
        <v>25</v>
      </c>
      <c r="B196" t="s">
        <v>26</v>
      </c>
      <c r="C196" s="2">
        <v>46055</v>
      </c>
      <c r="D196">
        <v>412.5</v>
      </c>
      <c r="E196">
        <v>100.4</v>
      </c>
      <c r="F196" s="8">
        <f t="shared" si="9"/>
        <v>4.1085657370517925</v>
      </c>
      <c r="G196">
        <v>2.1</v>
      </c>
      <c r="H196">
        <v>5</v>
      </c>
      <c r="I196">
        <v>54.4</v>
      </c>
      <c r="J196">
        <v>92.4</v>
      </c>
      <c r="K196" t="str">
        <f>IF(COUNTIFS($A$2:A196, A196, $C$2:C196, C196)&gt;1, "Duplicate", "Unique")</f>
        <v>Unique</v>
      </c>
      <c r="L196" t="str">
        <f t="shared" si="10"/>
        <v>Normal</v>
      </c>
      <c r="M196" t="str">
        <f t="shared" si="11"/>
        <v>Normal</v>
      </c>
      <c r="N196" s="55"/>
    </row>
    <row r="197" spans="1:14" x14ac:dyDescent="0.3">
      <c r="A197" t="s">
        <v>25</v>
      </c>
      <c r="B197" t="s">
        <v>26</v>
      </c>
      <c r="C197" s="2">
        <v>46066</v>
      </c>
      <c r="D197">
        <v>110.5</v>
      </c>
      <c r="E197">
        <v>25.4</v>
      </c>
      <c r="F197" s="8">
        <f t="shared" si="9"/>
        <v>4.3503937007874018</v>
      </c>
      <c r="G197">
        <v>0.4</v>
      </c>
      <c r="H197">
        <v>7</v>
      </c>
      <c r="I197">
        <v>41.8</v>
      </c>
      <c r="J197">
        <v>91</v>
      </c>
      <c r="K197" t="str">
        <f>IF(COUNTIFS($A$2:A197, A197, $C$2:C197, C197)&gt;1, "Duplicate", "Unique")</f>
        <v>Duplicate</v>
      </c>
      <c r="L197" t="str">
        <f t="shared" si="10"/>
        <v>Normal</v>
      </c>
      <c r="M197" t="str">
        <f t="shared" si="11"/>
        <v>Normal</v>
      </c>
      <c r="N197" s="55"/>
    </row>
    <row r="198" spans="1:14" x14ac:dyDescent="0.3">
      <c r="A198" t="s">
        <v>25</v>
      </c>
      <c r="B198" t="s">
        <v>26</v>
      </c>
      <c r="C198" s="2">
        <v>46111</v>
      </c>
      <c r="D198">
        <v>338.5</v>
      </c>
      <c r="E198">
        <v>118.8</v>
      </c>
      <c r="F198" s="8">
        <f t="shared" si="9"/>
        <v>2.8493265993265995</v>
      </c>
      <c r="G198">
        <v>2.7</v>
      </c>
      <c r="H198">
        <v>1</v>
      </c>
      <c r="I198">
        <v>41.5</v>
      </c>
      <c r="J198">
        <v>85.9</v>
      </c>
      <c r="K198" t="str">
        <f>IF(COUNTIFS($A$2:A198, A198, $C$2:C198, C198)&gt;1, "Duplicate", "Unique")</f>
        <v>Unique</v>
      </c>
      <c r="L198" t="str">
        <f t="shared" si="10"/>
        <v>Normal</v>
      </c>
      <c r="M198" t="str">
        <f t="shared" si="11"/>
        <v>Suspiciously Low Efficiency</v>
      </c>
      <c r="N198" s="55"/>
    </row>
    <row r="199" spans="1:14" x14ac:dyDescent="0.3">
      <c r="A199" t="s">
        <v>25</v>
      </c>
      <c r="B199" t="s">
        <v>26</v>
      </c>
      <c r="C199" s="2">
        <v>46106</v>
      </c>
      <c r="D199">
        <v>425.2</v>
      </c>
      <c r="E199">
        <v>80.599999999999994</v>
      </c>
      <c r="F199" s="8">
        <f t="shared" si="9"/>
        <v>5.2754342431761785</v>
      </c>
      <c r="G199">
        <v>1.6</v>
      </c>
      <c r="H199">
        <v>2</v>
      </c>
      <c r="I199">
        <v>38.299999999999997</v>
      </c>
      <c r="J199">
        <v>97.6</v>
      </c>
      <c r="K199" t="str">
        <f>IF(COUNTIFS($A$2:A199, A199, $C$2:C199, C199)&gt;1, "Duplicate", "Unique")</f>
        <v>Unique</v>
      </c>
      <c r="L199" t="str">
        <f t="shared" si="10"/>
        <v>Normal</v>
      </c>
      <c r="M199" t="str">
        <f t="shared" si="11"/>
        <v>Normal</v>
      </c>
      <c r="N199" s="55"/>
    </row>
    <row r="200" spans="1:14" x14ac:dyDescent="0.3">
      <c r="A200" t="s">
        <v>25</v>
      </c>
      <c r="B200" t="s">
        <v>26</v>
      </c>
      <c r="C200" s="2">
        <v>46026</v>
      </c>
      <c r="D200">
        <v>363.2</v>
      </c>
      <c r="E200">
        <v>70.2</v>
      </c>
      <c r="F200" s="8">
        <f t="shared" si="9"/>
        <v>5.1737891737891735</v>
      </c>
      <c r="G200">
        <v>2</v>
      </c>
      <c r="H200">
        <v>7</v>
      </c>
      <c r="I200">
        <v>43.7</v>
      </c>
      <c r="J200">
        <v>96.2</v>
      </c>
      <c r="K200" t="str">
        <f>IF(COUNTIFS($A$2:A200, A200, $C$2:C200, C200)&gt;1, "Duplicate", "Unique")</f>
        <v>Duplicate</v>
      </c>
      <c r="L200" t="str">
        <f t="shared" si="10"/>
        <v>Normal</v>
      </c>
      <c r="M200" t="str">
        <f t="shared" si="11"/>
        <v>Normal</v>
      </c>
      <c r="N200" s="55"/>
    </row>
    <row r="201" spans="1:14" x14ac:dyDescent="0.3">
      <c r="A201" t="s">
        <v>25</v>
      </c>
      <c r="B201" t="s">
        <v>26</v>
      </c>
      <c r="C201" s="2">
        <v>46043</v>
      </c>
      <c r="D201">
        <v>401.5</v>
      </c>
      <c r="E201">
        <v>122.3</v>
      </c>
      <c r="F201" s="8">
        <f t="shared" si="9"/>
        <v>3.2829108748977922</v>
      </c>
      <c r="G201">
        <v>3.3</v>
      </c>
      <c r="H201">
        <v>7</v>
      </c>
      <c r="I201">
        <v>43.9</v>
      </c>
      <c r="J201">
        <v>96</v>
      </c>
      <c r="K201" t="str">
        <f>IF(COUNTIFS($A$2:A201, A201, $C$2:C201, C201)&gt;1, "Duplicate", "Unique")</f>
        <v>Unique</v>
      </c>
      <c r="L201" t="str">
        <f t="shared" si="10"/>
        <v>Normal</v>
      </c>
      <c r="M201" t="str">
        <f t="shared" si="11"/>
        <v>Normal</v>
      </c>
      <c r="N201" s="55"/>
    </row>
    <row r="202" spans="1:14" x14ac:dyDescent="0.3">
      <c r="A202" t="s">
        <v>25</v>
      </c>
      <c r="B202" t="s">
        <v>26</v>
      </c>
      <c r="C202" s="2">
        <v>46101</v>
      </c>
      <c r="D202">
        <v>175.5</v>
      </c>
      <c r="E202">
        <v>46.4</v>
      </c>
      <c r="F202" s="8">
        <f t="shared" si="9"/>
        <v>3.7823275862068968</v>
      </c>
      <c r="G202">
        <v>1</v>
      </c>
      <c r="H202">
        <v>6</v>
      </c>
      <c r="I202">
        <v>65.5</v>
      </c>
      <c r="J202">
        <v>98.2</v>
      </c>
      <c r="K202" t="str">
        <f>IF(COUNTIFS($A$2:A202, A202, $C$2:C202, C202)&gt;1, "Duplicate", "Unique")</f>
        <v>Unique</v>
      </c>
      <c r="L202" t="str">
        <f t="shared" si="10"/>
        <v>Normal</v>
      </c>
      <c r="M202" t="str">
        <f t="shared" si="11"/>
        <v>Normal</v>
      </c>
      <c r="N202" s="55"/>
    </row>
    <row r="203" spans="1:14" x14ac:dyDescent="0.3">
      <c r="A203" t="s">
        <v>25</v>
      </c>
      <c r="B203" t="s">
        <v>26</v>
      </c>
      <c r="C203" s="2">
        <v>46040</v>
      </c>
      <c r="D203">
        <v>84.3</v>
      </c>
      <c r="E203">
        <v>18.5</v>
      </c>
      <c r="F203" s="8">
        <f t="shared" si="9"/>
        <v>4.5567567567567568</v>
      </c>
      <c r="G203">
        <v>0.8</v>
      </c>
      <c r="H203">
        <v>8</v>
      </c>
      <c r="I203">
        <v>59.6</v>
      </c>
      <c r="J203">
        <v>99.6</v>
      </c>
      <c r="K203" t="str">
        <f>IF(COUNTIFS($A$2:A203, A203, $C$2:C203, C203)&gt;1, "Duplicate", "Unique")</f>
        <v>Unique</v>
      </c>
      <c r="L203" t="str">
        <f t="shared" si="10"/>
        <v>Normal</v>
      </c>
      <c r="M203" t="str">
        <f t="shared" si="11"/>
        <v>Normal</v>
      </c>
      <c r="N203" s="55"/>
    </row>
    <row r="204" spans="1:14" x14ac:dyDescent="0.3">
      <c r="A204" t="s">
        <v>25</v>
      </c>
      <c r="B204" t="s">
        <v>26</v>
      </c>
      <c r="C204" s="2">
        <v>46033</v>
      </c>
      <c r="D204">
        <v>130.80000000000001</v>
      </c>
      <c r="E204">
        <v>26.3</v>
      </c>
      <c r="F204" s="8">
        <f t="shared" si="9"/>
        <v>4.9733840304182513</v>
      </c>
      <c r="G204">
        <v>3.9</v>
      </c>
      <c r="H204">
        <v>7</v>
      </c>
      <c r="I204">
        <v>58</v>
      </c>
      <c r="J204">
        <v>91.8</v>
      </c>
      <c r="K204" t="str">
        <f>IF(COUNTIFS($A$2:A204, A204, $C$2:C204, C204)&gt;1, "Duplicate", "Unique")</f>
        <v>Unique</v>
      </c>
      <c r="L204" t="str">
        <f t="shared" si="10"/>
        <v>Normal</v>
      </c>
      <c r="M204" t="str">
        <f t="shared" si="11"/>
        <v>Normal</v>
      </c>
      <c r="N204" s="55"/>
    </row>
    <row r="205" spans="1:14" x14ac:dyDescent="0.3">
      <c r="A205" t="s">
        <v>25</v>
      </c>
      <c r="B205" t="s">
        <v>26</v>
      </c>
      <c r="C205" s="2">
        <v>46101</v>
      </c>
      <c r="D205">
        <v>184</v>
      </c>
      <c r="E205">
        <v>36</v>
      </c>
      <c r="F205" s="8">
        <f t="shared" si="9"/>
        <v>5.1111111111111107</v>
      </c>
      <c r="G205">
        <v>0.3</v>
      </c>
      <c r="H205">
        <v>2</v>
      </c>
      <c r="I205">
        <v>57.2</v>
      </c>
      <c r="J205">
        <v>98.7</v>
      </c>
      <c r="K205" t="str">
        <f>IF(COUNTIFS($A$2:A205, A205, $C$2:C205, C205)&gt;1, "Duplicate", "Unique")</f>
        <v>Duplicate</v>
      </c>
      <c r="L205" t="str">
        <f t="shared" si="10"/>
        <v>Normal</v>
      </c>
      <c r="M205" t="str">
        <f t="shared" si="11"/>
        <v>Normal</v>
      </c>
      <c r="N205" s="55"/>
    </row>
    <row r="206" spans="1:14" x14ac:dyDescent="0.3">
      <c r="A206" t="s">
        <v>25</v>
      </c>
      <c r="B206" t="s">
        <v>26</v>
      </c>
      <c r="C206" s="2">
        <v>46107</v>
      </c>
      <c r="D206">
        <v>245.3</v>
      </c>
      <c r="E206">
        <v>49.2</v>
      </c>
      <c r="F206" s="8">
        <f t="shared" si="9"/>
        <v>4.9857723577235769</v>
      </c>
      <c r="G206">
        <v>1.3</v>
      </c>
      <c r="H206">
        <v>4</v>
      </c>
      <c r="I206">
        <v>51.8</v>
      </c>
      <c r="J206">
        <v>97</v>
      </c>
      <c r="K206" t="str">
        <f>IF(COUNTIFS($A$2:A206, A206, $C$2:C206, C206)&gt;1, "Duplicate", "Unique")</f>
        <v>Unique</v>
      </c>
      <c r="L206" t="str">
        <f t="shared" si="10"/>
        <v>Normal</v>
      </c>
      <c r="M206" t="str">
        <f t="shared" si="11"/>
        <v>Normal</v>
      </c>
      <c r="N206" s="55"/>
    </row>
    <row r="207" spans="1:14" x14ac:dyDescent="0.3">
      <c r="A207" t="s">
        <v>25</v>
      </c>
      <c r="B207" t="s">
        <v>26</v>
      </c>
      <c r="C207" s="2">
        <v>46085</v>
      </c>
      <c r="D207">
        <v>321.89999999999998</v>
      </c>
      <c r="E207">
        <v>79</v>
      </c>
      <c r="F207" s="8">
        <f t="shared" si="9"/>
        <v>4.074683544303797</v>
      </c>
      <c r="G207">
        <v>4.0999999999999996</v>
      </c>
      <c r="H207">
        <v>1</v>
      </c>
      <c r="I207">
        <v>40.9</v>
      </c>
      <c r="J207">
        <v>94.7</v>
      </c>
      <c r="K207" t="str">
        <f>IF(COUNTIFS($A$2:A207, A207, $C$2:C207, C207)&gt;1, "Duplicate", "Unique")</f>
        <v>Unique</v>
      </c>
      <c r="L207" t="str">
        <f t="shared" si="10"/>
        <v>Normal</v>
      </c>
      <c r="M207" t="str">
        <f t="shared" si="11"/>
        <v>Normal</v>
      </c>
      <c r="N207" s="55"/>
    </row>
    <row r="208" spans="1:14" x14ac:dyDescent="0.3">
      <c r="A208" t="s">
        <v>25</v>
      </c>
      <c r="B208" t="s">
        <v>26</v>
      </c>
      <c r="C208" s="2">
        <v>46027</v>
      </c>
      <c r="D208">
        <v>336.1</v>
      </c>
      <c r="E208">
        <v>113.5</v>
      </c>
      <c r="F208" s="8">
        <f t="shared" si="9"/>
        <v>2.9612334801762117</v>
      </c>
      <c r="G208">
        <v>0.8</v>
      </c>
      <c r="H208">
        <v>8</v>
      </c>
      <c r="I208">
        <v>50.6</v>
      </c>
      <c r="J208">
        <v>87.6</v>
      </c>
      <c r="K208" t="str">
        <f>IF(COUNTIFS($A$2:A208, A208, $C$2:C208, C208)&gt;1, "Duplicate", "Unique")</f>
        <v>Unique</v>
      </c>
      <c r="L208" t="str">
        <f t="shared" si="10"/>
        <v>Normal</v>
      </c>
      <c r="M208" t="str">
        <f t="shared" si="11"/>
        <v>Suspiciously Low Efficiency</v>
      </c>
      <c r="N208" s="55"/>
    </row>
    <row r="209" spans="1:14" x14ac:dyDescent="0.3">
      <c r="A209" t="s">
        <v>25</v>
      </c>
      <c r="B209" t="s">
        <v>26</v>
      </c>
      <c r="C209" s="2">
        <v>46074</v>
      </c>
      <c r="D209">
        <v>148.4</v>
      </c>
      <c r="E209">
        <v>28.8</v>
      </c>
      <c r="F209" s="8">
        <f t="shared" si="9"/>
        <v>5.1527777777777777</v>
      </c>
      <c r="G209">
        <v>2.9</v>
      </c>
      <c r="H209">
        <v>1</v>
      </c>
      <c r="I209">
        <v>68.7</v>
      </c>
      <c r="J209">
        <v>86.1</v>
      </c>
      <c r="K209" t="str">
        <f>IF(COUNTIFS($A$2:A209, A209, $C$2:C209, C209)&gt;1, "Duplicate", "Unique")</f>
        <v>Unique</v>
      </c>
      <c r="L209" t="str">
        <f t="shared" si="10"/>
        <v>Normal</v>
      </c>
      <c r="M209" t="str">
        <f t="shared" si="11"/>
        <v>Normal</v>
      </c>
      <c r="N209" s="55"/>
    </row>
    <row r="210" spans="1:14" x14ac:dyDescent="0.3">
      <c r="A210" t="s">
        <v>25</v>
      </c>
      <c r="B210" t="s">
        <v>26</v>
      </c>
      <c r="C210" s="2">
        <v>46065</v>
      </c>
      <c r="D210">
        <v>168.3</v>
      </c>
      <c r="E210">
        <v>54.2</v>
      </c>
      <c r="F210" s="8">
        <f t="shared" si="9"/>
        <v>3.1051660516605168</v>
      </c>
      <c r="G210">
        <v>2.2999999999999998</v>
      </c>
      <c r="H210">
        <v>4</v>
      </c>
      <c r="I210">
        <v>63.9</v>
      </c>
      <c r="J210">
        <v>96.4</v>
      </c>
      <c r="K210" t="str">
        <f>IF(COUNTIFS($A$2:A210, A210, $C$2:C210, C210)&gt;1, "Duplicate", "Unique")</f>
        <v>Unique</v>
      </c>
      <c r="L210" t="str">
        <f t="shared" si="10"/>
        <v>Normal</v>
      </c>
      <c r="M210" t="str">
        <f t="shared" si="11"/>
        <v>Normal</v>
      </c>
      <c r="N210" s="55"/>
    </row>
    <row r="211" spans="1:14" x14ac:dyDescent="0.3">
      <c r="A211" t="s">
        <v>25</v>
      </c>
      <c r="B211" t="s">
        <v>26</v>
      </c>
      <c r="C211" s="2">
        <v>46043</v>
      </c>
      <c r="D211">
        <v>168</v>
      </c>
      <c r="E211">
        <v>57.7</v>
      </c>
      <c r="F211" s="8">
        <f t="shared" si="9"/>
        <v>2.9116117850953205</v>
      </c>
      <c r="G211">
        <v>1.6</v>
      </c>
      <c r="H211">
        <v>3</v>
      </c>
      <c r="I211">
        <v>49.8</v>
      </c>
      <c r="J211">
        <v>90.5</v>
      </c>
      <c r="K211" t="str">
        <f>IF(COUNTIFS($A$2:A211, A211, $C$2:C211, C211)&gt;1, "Duplicate", "Unique")</f>
        <v>Duplicate</v>
      </c>
      <c r="L211" t="str">
        <f t="shared" si="10"/>
        <v>Normal</v>
      </c>
      <c r="M211" t="str">
        <f t="shared" si="11"/>
        <v>Suspiciously Low Efficiency</v>
      </c>
      <c r="N211" s="55"/>
    </row>
    <row r="212" spans="1:14" x14ac:dyDescent="0.3">
      <c r="A212" t="s">
        <v>37</v>
      </c>
      <c r="B212" t="s">
        <v>38</v>
      </c>
      <c r="C212" s="2">
        <v>46075</v>
      </c>
      <c r="D212">
        <v>259.7</v>
      </c>
      <c r="E212">
        <v>76.900000000000006</v>
      </c>
      <c r="F212" s="8">
        <f t="shared" si="9"/>
        <v>3.3771131339401816</v>
      </c>
      <c r="G212">
        <v>1.9</v>
      </c>
      <c r="H212">
        <v>1</v>
      </c>
      <c r="I212">
        <v>37.4</v>
      </c>
      <c r="J212">
        <v>85</v>
      </c>
      <c r="K212" t="str">
        <f>IF(COUNTIFS($A$2:A212, A212, $C$2:C212, C212)&gt;1, "Duplicate", "Unique")</f>
        <v>Unique</v>
      </c>
      <c r="L212" t="str">
        <f t="shared" si="10"/>
        <v>Normal</v>
      </c>
      <c r="M212" t="str">
        <f t="shared" si="11"/>
        <v>Normal</v>
      </c>
      <c r="N212" s="55"/>
    </row>
    <row r="213" spans="1:14" x14ac:dyDescent="0.3">
      <c r="A213" t="s">
        <v>37</v>
      </c>
      <c r="B213" t="s">
        <v>38</v>
      </c>
      <c r="C213" s="2">
        <v>46107</v>
      </c>
      <c r="D213">
        <v>111.4</v>
      </c>
      <c r="E213">
        <v>26.6</v>
      </c>
      <c r="F213" s="8">
        <f t="shared" si="9"/>
        <v>4.1879699248120303</v>
      </c>
      <c r="G213">
        <v>2.9</v>
      </c>
      <c r="H213">
        <v>6</v>
      </c>
      <c r="I213">
        <v>34.200000000000003</v>
      </c>
      <c r="J213">
        <v>99.3</v>
      </c>
      <c r="K213" t="str">
        <f>IF(COUNTIFS($A$2:A213, A213, $C$2:C213, C213)&gt;1, "Duplicate", "Unique")</f>
        <v>Unique</v>
      </c>
      <c r="L213" t="str">
        <f t="shared" si="10"/>
        <v>Normal</v>
      </c>
      <c r="M213" t="str">
        <f t="shared" si="11"/>
        <v>Normal</v>
      </c>
      <c r="N213" s="55"/>
    </row>
    <row r="214" spans="1:14" x14ac:dyDescent="0.3">
      <c r="A214" t="s">
        <v>37</v>
      </c>
      <c r="B214" t="s">
        <v>38</v>
      </c>
      <c r="C214" s="2">
        <v>46083</v>
      </c>
      <c r="D214">
        <v>272</v>
      </c>
      <c r="E214">
        <v>68.099999999999994</v>
      </c>
      <c r="F214" s="8">
        <f t="shared" si="9"/>
        <v>3.994126284875184</v>
      </c>
      <c r="G214">
        <v>1.4</v>
      </c>
      <c r="H214">
        <v>7</v>
      </c>
      <c r="I214">
        <v>58.6</v>
      </c>
      <c r="J214">
        <v>92.4</v>
      </c>
      <c r="K214" t="str">
        <f>IF(COUNTIFS($A$2:A214, A214, $C$2:C214, C214)&gt;1, "Duplicate", "Unique")</f>
        <v>Unique</v>
      </c>
      <c r="L214" t="str">
        <f t="shared" si="10"/>
        <v>Normal</v>
      </c>
      <c r="M214" t="str">
        <f t="shared" si="11"/>
        <v>Normal</v>
      </c>
      <c r="N214" s="55"/>
    </row>
    <row r="215" spans="1:14" x14ac:dyDescent="0.3">
      <c r="A215" t="s">
        <v>37</v>
      </c>
      <c r="B215" t="s">
        <v>38</v>
      </c>
      <c r="C215" s="2">
        <v>46100</v>
      </c>
      <c r="D215">
        <v>136.6</v>
      </c>
      <c r="E215">
        <v>28.2</v>
      </c>
      <c r="F215" s="8">
        <f t="shared" si="9"/>
        <v>4.8439716312056733</v>
      </c>
      <c r="G215">
        <v>0.5</v>
      </c>
      <c r="H215">
        <v>8</v>
      </c>
      <c r="I215">
        <v>50.9</v>
      </c>
      <c r="J215">
        <v>93.5</v>
      </c>
      <c r="K215" t="str">
        <f>IF(COUNTIFS($A$2:A215, A215, $C$2:C215, C215)&gt;1, "Duplicate", "Unique")</f>
        <v>Unique</v>
      </c>
      <c r="L215" t="str">
        <f t="shared" si="10"/>
        <v>Normal</v>
      </c>
      <c r="M215" t="str">
        <f t="shared" si="11"/>
        <v>Normal</v>
      </c>
      <c r="N215" s="55"/>
    </row>
    <row r="216" spans="1:14" x14ac:dyDescent="0.3">
      <c r="A216" t="s">
        <v>37</v>
      </c>
      <c r="B216" t="s">
        <v>38</v>
      </c>
      <c r="C216" s="2">
        <v>46069</v>
      </c>
      <c r="D216">
        <v>268.2</v>
      </c>
      <c r="E216">
        <v>85.8</v>
      </c>
      <c r="F216" s="8">
        <f t="shared" si="9"/>
        <v>3.1258741258741258</v>
      </c>
      <c r="G216">
        <v>1.1000000000000001</v>
      </c>
      <c r="H216">
        <v>3</v>
      </c>
      <c r="I216">
        <v>40.700000000000003</v>
      </c>
      <c r="J216">
        <v>92.4</v>
      </c>
      <c r="K216" t="str">
        <f>IF(COUNTIFS($A$2:A216, A216, $C$2:C216, C216)&gt;1, "Duplicate", "Unique")</f>
        <v>Unique</v>
      </c>
      <c r="L216" t="str">
        <f t="shared" si="10"/>
        <v>Normal</v>
      </c>
      <c r="M216" t="str">
        <f t="shared" si="11"/>
        <v>Normal</v>
      </c>
      <c r="N216" s="55"/>
    </row>
    <row r="217" spans="1:14" x14ac:dyDescent="0.3">
      <c r="A217" t="s">
        <v>37</v>
      </c>
      <c r="B217" t="s">
        <v>38</v>
      </c>
      <c r="C217" s="2">
        <v>46107</v>
      </c>
      <c r="D217">
        <v>311.10000000000002</v>
      </c>
      <c r="E217">
        <v>59.4</v>
      </c>
      <c r="F217" s="8">
        <f t="shared" si="9"/>
        <v>5.2373737373737379</v>
      </c>
      <c r="G217">
        <v>1.7</v>
      </c>
      <c r="H217">
        <v>1</v>
      </c>
      <c r="I217">
        <v>67.099999999999994</v>
      </c>
      <c r="J217">
        <v>85.4</v>
      </c>
      <c r="K217" t="str">
        <f>IF(COUNTIFS($A$2:A217, A217, $C$2:C217, C217)&gt;1, "Duplicate", "Unique")</f>
        <v>Duplicate</v>
      </c>
      <c r="L217" t="str">
        <f t="shared" si="10"/>
        <v>Normal</v>
      </c>
      <c r="M217" t="str">
        <f t="shared" si="11"/>
        <v>Normal</v>
      </c>
      <c r="N217" s="55"/>
    </row>
    <row r="218" spans="1:14" x14ac:dyDescent="0.3">
      <c r="A218" t="s">
        <v>37</v>
      </c>
      <c r="B218" t="s">
        <v>38</v>
      </c>
      <c r="C218" s="2">
        <v>46064</v>
      </c>
      <c r="D218">
        <v>425.5</v>
      </c>
      <c r="E218">
        <v>89.6</v>
      </c>
      <c r="F218" s="8">
        <f t="shared" si="9"/>
        <v>4.7488839285714288</v>
      </c>
      <c r="G218">
        <v>1</v>
      </c>
      <c r="H218">
        <v>3</v>
      </c>
      <c r="I218">
        <v>52.4</v>
      </c>
      <c r="J218">
        <v>92.7</v>
      </c>
      <c r="K218" t="str">
        <f>IF(COUNTIFS($A$2:A218, A218, $C$2:C218, C218)&gt;1, "Duplicate", "Unique")</f>
        <v>Unique</v>
      </c>
      <c r="L218" t="str">
        <f t="shared" si="10"/>
        <v>Normal</v>
      </c>
      <c r="M218" t="str">
        <f t="shared" si="11"/>
        <v>Normal</v>
      </c>
      <c r="N218" s="55"/>
    </row>
    <row r="219" spans="1:14" x14ac:dyDescent="0.3">
      <c r="A219" t="s">
        <v>37</v>
      </c>
      <c r="B219" t="s">
        <v>38</v>
      </c>
      <c r="C219" s="2">
        <v>46090</v>
      </c>
      <c r="D219">
        <v>312.7</v>
      </c>
      <c r="E219">
        <v>69.900000000000006</v>
      </c>
      <c r="F219" s="8">
        <f t="shared" si="9"/>
        <v>4.473533619456366</v>
      </c>
      <c r="G219">
        <v>3.8</v>
      </c>
      <c r="H219">
        <v>3</v>
      </c>
      <c r="I219">
        <v>67</v>
      </c>
      <c r="J219">
        <v>88.6</v>
      </c>
      <c r="K219" t="str">
        <f>IF(COUNTIFS($A$2:A219, A219, $C$2:C219, C219)&gt;1, "Duplicate", "Unique")</f>
        <v>Unique</v>
      </c>
      <c r="L219" t="str">
        <f t="shared" si="10"/>
        <v>Normal</v>
      </c>
      <c r="M219" t="str">
        <f t="shared" si="11"/>
        <v>Normal</v>
      </c>
      <c r="N219" s="55"/>
    </row>
    <row r="220" spans="1:14" x14ac:dyDescent="0.3">
      <c r="A220" t="s">
        <v>37</v>
      </c>
      <c r="B220" t="s">
        <v>38</v>
      </c>
      <c r="C220" s="2">
        <v>46091</v>
      </c>
      <c r="D220">
        <v>225.4</v>
      </c>
      <c r="E220">
        <v>71.7</v>
      </c>
      <c r="F220" s="8">
        <f t="shared" si="9"/>
        <v>3.1436541143654115</v>
      </c>
      <c r="G220">
        <v>4.4000000000000004</v>
      </c>
      <c r="H220">
        <v>1</v>
      </c>
      <c r="I220">
        <v>64</v>
      </c>
      <c r="J220">
        <v>99.7</v>
      </c>
      <c r="K220" t="str">
        <f>IF(COUNTIFS($A$2:A220, A220, $C$2:C220, C220)&gt;1, "Duplicate", "Unique")</f>
        <v>Unique</v>
      </c>
      <c r="L220" t="str">
        <f t="shared" si="10"/>
        <v>Normal</v>
      </c>
      <c r="M220" t="str">
        <f t="shared" si="11"/>
        <v>Normal</v>
      </c>
      <c r="N220" s="55"/>
    </row>
    <row r="221" spans="1:14" x14ac:dyDescent="0.3">
      <c r="A221" t="s">
        <v>37</v>
      </c>
      <c r="B221" t="s">
        <v>38</v>
      </c>
      <c r="C221" s="2">
        <v>46046</v>
      </c>
      <c r="D221">
        <v>317</v>
      </c>
      <c r="E221">
        <v>79.900000000000006</v>
      </c>
      <c r="F221" s="8">
        <f t="shared" si="9"/>
        <v>3.9674593241551936</v>
      </c>
      <c r="G221">
        <v>0.3</v>
      </c>
      <c r="H221">
        <v>4</v>
      </c>
      <c r="I221">
        <v>50.2</v>
      </c>
      <c r="J221">
        <v>91.4</v>
      </c>
      <c r="K221" t="str">
        <f>IF(COUNTIFS($A$2:A221, A221, $C$2:C221, C221)&gt;1, "Duplicate", "Unique")</f>
        <v>Unique</v>
      </c>
      <c r="L221" t="str">
        <f t="shared" si="10"/>
        <v>Normal</v>
      </c>
      <c r="M221" t="str">
        <f t="shared" si="11"/>
        <v>Normal</v>
      </c>
      <c r="N221" s="55"/>
    </row>
    <row r="222" spans="1:14" x14ac:dyDescent="0.3">
      <c r="A222" t="s">
        <v>37</v>
      </c>
      <c r="B222" t="s">
        <v>38</v>
      </c>
      <c r="C222" s="2">
        <v>46094</v>
      </c>
      <c r="D222">
        <v>141.69999999999999</v>
      </c>
      <c r="E222">
        <v>39.6</v>
      </c>
      <c r="F222" s="8">
        <f t="shared" si="9"/>
        <v>3.5782828282828278</v>
      </c>
      <c r="G222">
        <v>1</v>
      </c>
      <c r="H222">
        <v>8</v>
      </c>
      <c r="I222">
        <v>57.9</v>
      </c>
      <c r="J222">
        <v>98</v>
      </c>
      <c r="K222" t="str">
        <f>IF(COUNTIFS($A$2:A222, A222, $C$2:C222, C222)&gt;1, "Duplicate", "Unique")</f>
        <v>Unique</v>
      </c>
      <c r="L222" t="str">
        <f t="shared" si="10"/>
        <v>Normal</v>
      </c>
      <c r="M222" t="str">
        <f t="shared" si="11"/>
        <v>Normal</v>
      </c>
      <c r="N222" s="55"/>
    </row>
    <row r="223" spans="1:14" x14ac:dyDescent="0.3">
      <c r="A223" t="s">
        <v>37</v>
      </c>
      <c r="B223" t="s">
        <v>38</v>
      </c>
      <c r="C223" s="2">
        <v>46038</v>
      </c>
      <c r="D223">
        <v>84.7</v>
      </c>
      <c r="E223">
        <v>26.7</v>
      </c>
      <c r="F223" s="8">
        <f t="shared" si="9"/>
        <v>3.1722846441947565</v>
      </c>
      <c r="G223">
        <v>0.2</v>
      </c>
      <c r="H223">
        <v>8</v>
      </c>
      <c r="I223">
        <v>72.900000000000006</v>
      </c>
      <c r="J223">
        <v>92.8</v>
      </c>
      <c r="K223" t="str">
        <f>IF(COUNTIFS($A$2:A223, A223, $C$2:C223, C223)&gt;1, "Duplicate", "Unique")</f>
        <v>Unique</v>
      </c>
      <c r="L223" t="str">
        <f t="shared" si="10"/>
        <v>Normal</v>
      </c>
      <c r="M223" t="str">
        <f t="shared" si="11"/>
        <v>Normal</v>
      </c>
      <c r="N223" s="55"/>
    </row>
    <row r="224" spans="1:14" x14ac:dyDescent="0.3">
      <c r="A224" t="s">
        <v>37</v>
      </c>
      <c r="B224" t="s">
        <v>38</v>
      </c>
      <c r="C224" s="2">
        <v>46026</v>
      </c>
      <c r="D224">
        <v>432.3</v>
      </c>
      <c r="E224">
        <v>84.6</v>
      </c>
      <c r="F224" s="8">
        <f t="shared" si="9"/>
        <v>5.1099290780141846</v>
      </c>
      <c r="G224">
        <v>2.6</v>
      </c>
      <c r="H224">
        <v>4</v>
      </c>
      <c r="I224">
        <v>34.299999999999997</v>
      </c>
      <c r="J224">
        <v>86.5</v>
      </c>
      <c r="K224" t="str">
        <f>IF(COUNTIFS($A$2:A224, A224, $C$2:C224, C224)&gt;1, "Duplicate", "Unique")</f>
        <v>Unique</v>
      </c>
      <c r="L224" t="str">
        <f t="shared" si="10"/>
        <v>Normal</v>
      </c>
      <c r="M224" t="str">
        <f t="shared" si="11"/>
        <v>Normal</v>
      </c>
      <c r="N224" s="55"/>
    </row>
    <row r="225" spans="1:14" x14ac:dyDescent="0.3">
      <c r="A225" t="s">
        <v>37</v>
      </c>
      <c r="B225" t="s">
        <v>38</v>
      </c>
      <c r="C225" s="2">
        <v>46058</v>
      </c>
      <c r="D225">
        <v>183.5</v>
      </c>
      <c r="E225">
        <v>35.4</v>
      </c>
      <c r="F225" s="8">
        <f t="shared" si="9"/>
        <v>5.1836158192090398</v>
      </c>
      <c r="G225">
        <v>0.3</v>
      </c>
      <c r="H225">
        <v>4</v>
      </c>
      <c r="I225">
        <v>59.1</v>
      </c>
      <c r="J225">
        <v>92.5</v>
      </c>
      <c r="K225" t="str">
        <f>IF(COUNTIFS($A$2:A225, A225, $C$2:C225, C225)&gt;1, "Duplicate", "Unique")</f>
        <v>Unique</v>
      </c>
      <c r="L225" t="str">
        <f t="shared" si="10"/>
        <v>Normal</v>
      </c>
      <c r="M225" t="str">
        <f t="shared" si="11"/>
        <v>Normal</v>
      </c>
      <c r="N225" s="55"/>
    </row>
    <row r="226" spans="1:14" x14ac:dyDescent="0.3">
      <c r="A226" t="s">
        <v>37</v>
      </c>
      <c r="B226" t="s">
        <v>38</v>
      </c>
      <c r="C226" s="2">
        <v>46078</v>
      </c>
      <c r="D226">
        <v>373</v>
      </c>
      <c r="E226">
        <v>69.2</v>
      </c>
      <c r="F226" s="8">
        <f t="shared" si="9"/>
        <v>5.3901734104046239</v>
      </c>
      <c r="G226">
        <v>3</v>
      </c>
      <c r="H226">
        <v>3</v>
      </c>
      <c r="I226">
        <v>61.8</v>
      </c>
      <c r="J226">
        <v>93.4</v>
      </c>
      <c r="K226" t="str">
        <f>IF(COUNTIFS($A$2:A226, A226, $C$2:C226, C226)&gt;1, "Duplicate", "Unique")</f>
        <v>Unique</v>
      </c>
      <c r="L226" t="str">
        <f t="shared" si="10"/>
        <v>Normal</v>
      </c>
      <c r="M226" t="str">
        <f t="shared" si="11"/>
        <v>Normal</v>
      </c>
      <c r="N226" s="55"/>
    </row>
    <row r="227" spans="1:14" x14ac:dyDescent="0.3">
      <c r="A227" t="s">
        <v>37</v>
      </c>
      <c r="B227" t="s">
        <v>38</v>
      </c>
      <c r="C227" s="2">
        <v>46023</v>
      </c>
      <c r="D227">
        <v>431.1</v>
      </c>
      <c r="E227">
        <v>80.400000000000006</v>
      </c>
      <c r="F227" s="8">
        <f t="shared" si="9"/>
        <v>5.3619402985074629</v>
      </c>
      <c r="G227">
        <v>1.9</v>
      </c>
      <c r="H227">
        <v>1</v>
      </c>
      <c r="I227">
        <v>38.200000000000003</v>
      </c>
      <c r="J227">
        <v>89.8</v>
      </c>
      <c r="K227" t="str">
        <f>IF(COUNTIFS($A$2:A227, A227, $C$2:C227, C227)&gt;1, "Duplicate", "Unique")</f>
        <v>Unique</v>
      </c>
      <c r="L227" t="str">
        <f t="shared" si="10"/>
        <v>Normal</v>
      </c>
      <c r="M227" t="str">
        <f t="shared" si="11"/>
        <v>Normal</v>
      </c>
      <c r="N227" s="55"/>
    </row>
    <row r="228" spans="1:14" x14ac:dyDescent="0.3">
      <c r="A228" t="s">
        <v>37</v>
      </c>
      <c r="B228" t="s">
        <v>38</v>
      </c>
      <c r="C228" s="2">
        <v>46104</v>
      </c>
      <c r="D228">
        <v>188</v>
      </c>
      <c r="E228">
        <v>62.2</v>
      </c>
      <c r="F228" s="8">
        <f t="shared" si="9"/>
        <v>3.022508038585209</v>
      </c>
      <c r="G228">
        <v>3.8</v>
      </c>
      <c r="H228">
        <v>5</v>
      </c>
      <c r="I228">
        <v>65.3</v>
      </c>
      <c r="J228">
        <v>92.1</v>
      </c>
      <c r="K228" t="str">
        <f>IF(COUNTIFS($A$2:A228, A228, $C$2:C228, C228)&gt;1, "Duplicate", "Unique")</f>
        <v>Unique</v>
      </c>
      <c r="L228" t="str">
        <f t="shared" si="10"/>
        <v>Normal</v>
      </c>
      <c r="M228" t="str">
        <f t="shared" si="11"/>
        <v>Normal</v>
      </c>
      <c r="N228" s="55"/>
    </row>
    <row r="229" spans="1:14" x14ac:dyDescent="0.3">
      <c r="A229" t="s">
        <v>37</v>
      </c>
      <c r="B229" t="s">
        <v>38</v>
      </c>
      <c r="C229" s="2">
        <v>46044</v>
      </c>
      <c r="D229">
        <v>439.7</v>
      </c>
      <c r="E229">
        <v>88.2</v>
      </c>
      <c r="F229" s="8">
        <f t="shared" si="9"/>
        <v>4.9852607709750565</v>
      </c>
      <c r="G229">
        <v>0.7</v>
      </c>
      <c r="H229">
        <v>7</v>
      </c>
      <c r="I229">
        <v>33.5</v>
      </c>
      <c r="J229">
        <v>95.2</v>
      </c>
      <c r="K229" t="str">
        <f>IF(COUNTIFS($A$2:A229, A229, $C$2:C229, C229)&gt;1, "Duplicate", "Unique")</f>
        <v>Unique</v>
      </c>
      <c r="L229" t="str">
        <f t="shared" si="10"/>
        <v>Normal</v>
      </c>
      <c r="M229" t="str">
        <f t="shared" si="11"/>
        <v>Normal</v>
      </c>
      <c r="N229" s="55"/>
    </row>
    <row r="230" spans="1:14" x14ac:dyDescent="0.3">
      <c r="A230" t="s">
        <v>37</v>
      </c>
      <c r="B230" t="s">
        <v>38</v>
      </c>
      <c r="C230" s="2">
        <v>46099</v>
      </c>
      <c r="D230">
        <v>376.3</v>
      </c>
      <c r="E230">
        <v>110.5</v>
      </c>
      <c r="F230" s="8">
        <f t="shared" si="9"/>
        <v>3.4054298642533936</v>
      </c>
      <c r="G230">
        <v>2.8</v>
      </c>
      <c r="H230">
        <v>5</v>
      </c>
      <c r="I230">
        <v>62.1</v>
      </c>
      <c r="J230">
        <v>95.6</v>
      </c>
      <c r="K230" t="str">
        <f>IF(COUNTIFS($A$2:A230, A230, $C$2:C230, C230)&gt;1, "Duplicate", "Unique")</f>
        <v>Unique</v>
      </c>
      <c r="L230" t="str">
        <f t="shared" si="10"/>
        <v>Normal</v>
      </c>
      <c r="M230" t="str">
        <f t="shared" si="11"/>
        <v>Normal</v>
      </c>
      <c r="N230" s="55"/>
    </row>
    <row r="231" spans="1:14" x14ac:dyDescent="0.3">
      <c r="A231" t="s">
        <v>37</v>
      </c>
      <c r="B231" t="s">
        <v>38</v>
      </c>
      <c r="C231" s="2">
        <v>46063</v>
      </c>
      <c r="D231">
        <v>314.8</v>
      </c>
      <c r="E231">
        <v>111.9</v>
      </c>
      <c r="F231" s="8">
        <f t="shared" si="9"/>
        <v>2.813226094727435</v>
      </c>
      <c r="G231">
        <v>1.4</v>
      </c>
      <c r="H231">
        <v>3</v>
      </c>
      <c r="I231">
        <v>55.9</v>
      </c>
      <c r="J231">
        <v>87.4</v>
      </c>
      <c r="K231" t="str">
        <f>IF(COUNTIFS($A$2:A231, A231, $C$2:C231, C231)&gt;1, "Duplicate", "Unique")</f>
        <v>Unique</v>
      </c>
      <c r="L231" t="str">
        <f t="shared" si="10"/>
        <v>Normal</v>
      </c>
      <c r="M231" t="str">
        <f t="shared" si="11"/>
        <v>Suspiciously Low Efficiency</v>
      </c>
      <c r="N231" s="55"/>
    </row>
    <row r="232" spans="1:14" x14ac:dyDescent="0.3">
      <c r="A232" t="s">
        <v>37</v>
      </c>
      <c r="B232" t="s">
        <v>38</v>
      </c>
      <c r="C232" s="2">
        <v>46037</v>
      </c>
      <c r="D232">
        <v>129</v>
      </c>
      <c r="E232">
        <v>27.1</v>
      </c>
      <c r="F232" s="8">
        <f t="shared" si="9"/>
        <v>4.7601476014760147</v>
      </c>
      <c r="G232">
        <v>4.4000000000000004</v>
      </c>
      <c r="H232">
        <v>3</v>
      </c>
      <c r="I232">
        <v>34.700000000000003</v>
      </c>
      <c r="J232">
        <v>98.7</v>
      </c>
      <c r="K232" t="str">
        <f>IF(COUNTIFS($A$2:A232, A232, $C$2:C232, C232)&gt;1, "Duplicate", "Unique")</f>
        <v>Unique</v>
      </c>
      <c r="L232" t="str">
        <f t="shared" si="10"/>
        <v>Normal</v>
      </c>
      <c r="M232" t="str">
        <f t="shared" si="11"/>
        <v>Normal</v>
      </c>
      <c r="N232" s="55"/>
    </row>
    <row r="233" spans="1:14" x14ac:dyDescent="0.3">
      <c r="A233" t="s">
        <v>37</v>
      </c>
      <c r="B233" t="s">
        <v>38</v>
      </c>
      <c r="C233" s="2">
        <v>46086</v>
      </c>
      <c r="D233">
        <v>132</v>
      </c>
      <c r="E233">
        <v>27.9</v>
      </c>
      <c r="F233" s="8">
        <f t="shared" si="9"/>
        <v>4.731182795698925</v>
      </c>
      <c r="G233">
        <v>3.3</v>
      </c>
      <c r="H233">
        <v>2</v>
      </c>
      <c r="I233">
        <v>41.4</v>
      </c>
      <c r="J233">
        <v>87.9</v>
      </c>
      <c r="K233" t="str">
        <f>IF(COUNTIFS($A$2:A233, A233, $C$2:C233, C233)&gt;1, "Duplicate", "Unique")</f>
        <v>Unique</v>
      </c>
      <c r="L233" t="str">
        <f t="shared" si="10"/>
        <v>Normal</v>
      </c>
      <c r="M233" t="str">
        <f t="shared" si="11"/>
        <v>Normal</v>
      </c>
      <c r="N233" s="55"/>
    </row>
    <row r="234" spans="1:14" x14ac:dyDescent="0.3">
      <c r="A234" t="s">
        <v>37</v>
      </c>
      <c r="B234" t="s">
        <v>38</v>
      </c>
      <c r="C234" s="2">
        <v>46088</v>
      </c>
      <c r="D234">
        <v>124.2</v>
      </c>
      <c r="E234">
        <v>42.7</v>
      </c>
      <c r="F234" s="8">
        <f t="shared" si="9"/>
        <v>2.9086651053864165</v>
      </c>
      <c r="G234">
        <v>1.4</v>
      </c>
      <c r="H234">
        <v>5</v>
      </c>
      <c r="I234">
        <v>35.9</v>
      </c>
      <c r="J234">
        <v>93.8</v>
      </c>
      <c r="K234" t="str">
        <f>IF(COUNTIFS($A$2:A234, A234, $C$2:C234, C234)&gt;1, "Duplicate", "Unique")</f>
        <v>Unique</v>
      </c>
      <c r="L234" t="str">
        <f t="shared" si="10"/>
        <v>Normal</v>
      </c>
      <c r="M234" t="str">
        <f t="shared" si="11"/>
        <v>Suspiciously Low Efficiency</v>
      </c>
      <c r="N234" s="55"/>
    </row>
    <row r="235" spans="1:14" x14ac:dyDescent="0.3">
      <c r="A235" t="s">
        <v>37</v>
      </c>
      <c r="B235" t="s">
        <v>38</v>
      </c>
      <c r="C235" s="2">
        <v>46102</v>
      </c>
      <c r="D235">
        <v>324.10000000000002</v>
      </c>
      <c r="E235">
        <v>92.2</v>
      </c>
      <c r="F235" s="8">
        <f t="shared" si="9"/>
        <v>3.515184381778742</v>
      </c>
      <c r="G235">
        <v>3.3</v>
      </c>
      <c r="H235">
        <v>6</v>
      </c>
      <c r="I235">
        <v>71.5</v>
      </c>
      <c r="J235">
        <v>93.9</v>
      </c>
      <c r="K235" t="str">
        <f>IF(COUNTIFS($A$2:A235, A235, $C$2:C235, C235)&gt;1, "Duplicate", "Unique")</f>
        <v>Unique</v>
      </c>
      <c r="L235" t="str">
        <f t="shared" si="10"/>
        <v>Normal</v>
      </c>
      <c r="M235" t="str">
        <f t="shared" si="11"/>
        <v>Normal</v>
      </c>
      <c r="N235" s="55"/>
    </row>
    <row r="236" spans="1:14" x14ac:dyDescent="0.3">
      <c r="A236" t="s">
        <v>37</v>
      </c>
      <c r="B236" t="s">
        <v>38</v>
      </c>
      <c r="C236" s="2">
        <v>46083</v>
      </c>
      <c r="D236">
        <v>413.6</v>
      </c>
      <c r="E236">
        <v>93.6</v>
      </c>
      <c r="F236" s="8">
        <f t="shared" si="9"/>
        <v>4.4188034188034191</v>
      </c>
      <c r="G236">
        <v>4</v>
      </c>
      <c r="H236">
        <v>2</v>
      </c>
      <c r="I236">
        <v>34.200000000000003</v>
      </c>
      <c r="J236">
        <v>94.9</v>
      </c>
      <c r="K236" t="str">
        <f>IF(COUNTIFS($A$2:A236, A236, $C$2:C236, C236)&gt;1, "Duplicate", "Unique")</f>
        <v>Duplicate</v>
      </c>
      <c r="L236" t="str">
        <f t="shared" si="10"/>
        <v>Normal</v>
      </c>
      <c r="M236" t="str">
        <f t="shared" si="11"/>
        <v>Normal</v>
      </c>
      <c r="N236" s="55"/>
    </row>
    <row r="237" spans="1:14" x14ac:dyDescent="0.3">
      <c r="A237" t="s">
        <v>37</v>
      </c>
      <c r="B237" t="s">
        <v>38</v>
      </c>
      <c r="C237" s="2">
        <v>46104</v>
      </c>
      <c r="D237">
        <v>262.89999999999998</v>
      </c>
      <c r="E237">
        <v>92.9</v>
      </c>
      <c r="F237" s="8">
        <f t="shared" si="9"/>
        <v>2.8299246501614634</v>
      </c>
      <c r="G237">
        <v>3.9</v>
      </c>
      <c r="H237">
        <v>5</v>
      </c>
      <c r="I237">
        <v>38.799999999999997</v>
      </c>
      <c r="J237">
        <v>96.8</v>
      </c>
      <c r="K237" t="str">
        <f>IF(COUNTIFS($A$2:A237, A237, $C$2:C237, C237)&gt;1, "Duplicate", "Unique")</f>
        <v>Duplicate</v>
      </c>
      <c r="L237" t="str">
        <f t="shared" si="10"/>
        <v>Normal</v>
      </c>
      <c r="M237" t="str">
        <f t="shared" si="11"/>
        <v>Suspiciously Low Efficiency</v>
      </c>
      <c r="N237" s="55"/>
    </row>
    <row r="238" spans="1:14" x14ac:dyDescent="0.3">
      <c r="A238" t="s">
        <v>37</v>
      </c>
      <c r="B238" t="s">
        <v>38</v>
      </c>
      <c r="C238" s="2">
        <v>46034</v>
      </c>
      <c r="D238">
        <v>448.8</v>
      </c>
      <c r="E238">
        <v>91.5</v>
      </c>
      <c r="F238" s="8">
        <f t="shared" si="9"/>
        <v>4.9049180327868855</v>
      </c>
      <c r="G238">
        <v>1.7</v>
      </c>
      <c r="H238">
        <v>7</v>
      </c>
      <c r="I238">
        <v>48.2</v>
      </c>
      <c r="J238">
        <v>88</v>
      </c>
      <c r="K238" t="str">
        <f>IF(COUNTIFS($A$2:A238, A238, $C$2:C238, C238)&gt;1, "Duplicate", "Unique")</f>
        <v>Unique</v>
      </c>
      <c r="L238" t="str">
        <f t="shared" si="10"/>
        <v>Normal</v>
      </c>
      <c r="M238" t="str">
        <f t="shared" si="11"/>
        <v>Normal</v>
      </c>
      <c r="N238" s="55"/>
    </row>
    <row r="239" spans="1:14" x14ac:dyDescent="0.3">
      <c r="A239" t="s">
        <v>37</v>
      </c>
      <c r="B239" t="s">
        <v>38</v>
      </c>
      <c r="C239" s="2">
        <v>46093</v>
      </c>
      <c r="D239">
        <v>228.6</v>
      </c>
      <c r="E239">
        <v>61.6</v>
      </c>
      <c r="F239" s="8">
        <f t="shared" si="9"/>
        <v>3.7110389610389607</v>
      </c>
      <c r="G239">
        <v>0.9</v>
      </c>
      <c r="H239">
        <v>8</v>
      </c>
      <c r="I239">
        <v>72</v>
      </c>
      <c r="J239">
        <v>98.5</v>
      </c>
      <c r="K239" t="str">
        <f>IF(COUNTIFS($A$2:A239, A239, $C$2:C239, C239)&gt;1, "Duplicate", "Unique")</f>
        <v>Unique</v>
      </c>
      <c r="L239" t="str">
        <f t="shared" si="10"/>
        <v>Normal</v>
      </c>
      <c r="M239" t="str">
        <f t="shared" si="11"/>
        <v>Normal</v>
      </c>
      <c r="N239" s="55"/>
    </row>
    <row r="240" spans="1:14" x14ac:dyDescent="0.3">
      <c r="A240" t="s">
        <v>37</v>
      </c>
      <c r="B240" t="s">
        <v>38</v>
      </c>
      <c r="C240" s="2">
        <v>46097</v>
      </c>
      <c r="D240">
        <v>427</v>
      </c>
      <c r="E240">
        <v>91.2</v>
      </c>
      <c r="F240" s="8">
        <f t="shared" si="9"/>
        <v>4.682017543859649</v>
      </c>
      <c r="G240">
        <v>0.8</v>
      </c>
      <c r="H240">
        <v>7</v>
      </c>
      <c r="I240">
        <v>44.6</v>
      </c>
      <c r="J240">
        <v>85.4</v>
      </c>
      <c r="K240" t="str">
        <f>IF(COUNTIFS($A$2:A240, A240, $C$2:C240, C240)&gt;1, "Duplicate", "Unique")</f>
        <v>Unique</v>
      </c>
      <c r="L240" t="str">
        <f t="shared" si="10"/>
        <v>Normal</v>
      </c>
      <c r="M240" t="str">
        <f t="shared" si="11"/>
        <v>Normal</v>
      </c>
      <c r="N240" s="55"/>
    </row>
    <row r="241" spans="1:14" x14ac:dyDescent="0.3">
      <c r="A241" t="s">
        <v>37</v>
      </c>
      <c r="B241" t="s">
        <v>38</v>
      </c>
      <c r="C241" s="2">
        <v>46038</v>
      </c>
      <c r="D241">
        <v>113.7</v>
      </c>
      <c r="E241">
        <v>24.2</v>
      </c>
      <c r="F241" s="8">
        <f t="shared" si="9"/>
        <v>4.6983471074380168</v>
      </c>
      <c r="G241">
        <v>2.9</v>
      </c>
      <c r="H241">
        <v>2</v>
      </c>
      <c r="I241">
        <v>53.6</v>
      </c>
      <c r="J241">
        <v>90.8</v>
      </c>
      <c r="K241" t="str">
        <f>IF(COUNTIFS($A$2:A241, A241, $C$2:C241, C241)&gt;1, "Duplicate", "Unique")</f>
        <v>Duplicate</v>
      </c>
      <c r="L241" t="str">
        <f t="shared" si="10"/>
        <v>Normal</v>
      </c>
      <c r="M241" t="str">
        <f t="shared" si="11"/>
        <v>Normal</v>
      </c>
      <c r="N241" s="55"/>
    </row>
    <row r="242" spans="1:14" x14ac:dyDescent="0.3">
      <c r="A242" t="s">
        <v>37</v>
      </c>
      <c r="B242" t="s">
        <v>38</v>
      </c>
      <c r="C242" s="2">
        <v>46063</v>
      </c>
      <c r="D242">
        <v>282.60000000000002</v>
      </c>
      <c r="E242">
        <v>61.2</v>
      </c>
      <c r="F242" s="8">
        <f t="shared" si="9"/>
        <v>4.6176470588235299</v>
      </c>
      <c r="G242">
        <v>3.8</v>
      </c>
      <c r="H242">
        <v>1</v>
      </c>
      <c r="I242">
        <v>48.5</v>
      </c>
      <c r="J242">
        <v>92.9</v>
      </c>
      <c r="K242" t="str">
        <f>IF(COUNTIFS($A$2:A242, A242, $C$2:C242, C242)&gt;1, "Duplicate", "Unique")</f>
        <v>Duplicate</v>
      </c>
      <c r="L242" t="str">
        <f t="shared" si="10"/>
        <v>Normal</v>
      </c>
      <c r="M242" t="str">
        <f t="shared" si="11"/>
        <v>Normal</v>
      </c>
      <c r="N242" s="55"/>
    </row>
    <row r="243" spans="1:14" x14ac:dyDescent="0.3">
      <c r="A243" t="s">
        <v>37</v>
      </c>
      <c r="B243" t="s">
        <v>38</v>
      </c>
      <c r="C243" s="2">
        <v>46072</v>
      </c>
      <c r="D243">
        <v>218.2</v>
      </c>
      <c r="E243">
        <v>54.1</v>
      </c>
      <c r="F243" s="8">
        <f t="shared" si="9"/>
        <v>4.033271719038817</v>
      </c>
      <c r="G243">
        <v>1</v>
      </c>
      <c r="H243">
        <v>6</v>
      </c>
      <c r="I243">
        <v>73.900000000000006</v>
      </c>
      <c r="J243">
        <v>88</v>
      </c>
      <c r="K243" t="str">
        <f>IF(COUNTIFS($A$2:A243, A243, $C$2:C243, C243)&gt;1, "Duplicate", "Unique")</f>
        <v>Unique</v>
      </c>
      <c r="L243" t="str">
        <f t="shared" si="10"/>
        <v>Normal</v>
      </c>
      <c r="M243" t="str">
        <f t="shared" si="11"/>
        <v>Normal</v>
      </c>
      <c r="N243" s="55"/>
    </row>
    <row r="244" spans="1:14" x14ac:dyDescent="0.3">
      <c r="A244" t="s">
        <v>37</v>
      </c>
      <c r="B244" t="s">
        <v>38</v>
      </c>
      <c r="C244" s="2">
        <v>46091</v>
      </c>
      <c r="D244">
        <v>191.6</v>
      </c>
      <c r="E244">
        <v>36.299999999999997</v>
      </c>
      <c r="F244" s="8">
        <f t="shared" si="9"/>
        <v>5.2782369146005514</v>
      </c>
      <c r="G244">
        <v>1.9</v>
      </c>
      <c r="H244">
        <v>8</v>
      </c>
      <c r="I244">
        <v>64.599999999999994</v>
      </c>
      <c r="J244">
        <v>99.2</v>
      </c>
      <c r="K244" t="str">
        <f>IF(COUNTIFS($A$2:A244, A244, $C$2:C244, C244)&gt;1, "Duplicate", "Unique")</f>
        <v>Duplicate</v>
      </c>
      <c r="L244" t="str">
        <f t="shared" si="10"/>
        <v>Normal</v>
      </c>
      <c r="M244" t="str">
        <f t="shared" si="11"/>
        <v>Normal</v>
      </c>
      <c r="N244" s="55"/>
    </row>
    <row r="245" spans="1:14" x14ac:dyDescent="0.3">
      <c r="A245" t="s">
        <v>33</v>
      </c>
      <c r="B245" t="s">
        <v>34</v>
      </c>
      <c r="C245" s="2">
        <v>46092</v>
      </c>
      <c r="D245">
        <v>359.4</v>
      </c>
      <c r="E245">
        <v>77.099999999999994</v>
      </c>
      <c r="F245" s="8">
        <f t="shared" si="9"/>
        <v>4.6614785992217902</v>
      </c>
      <c r="G245">
        <v>3.3</v>
      </c>
      <c r="H245">
        <v>7</v>
      </c>
      <c r="I245">
        <v>74.8</v>
      </c>
      <c r="J245">
        <v>94.7</v>
      </c>
      <c r="K245" t="str">
        <f>IF(COUNTIFS($A$2:A245, A245, $C$2:C245, C245)&gt;1, "Duplicate", "Unique")</f>
        <v>Unique</v>
      </c>
      <c r="L245" t="str">
        <f t="shared" si="10"/>
        <v>Normal</v>
      </c>
      <c r="M245" t="str">
        <f t="shared" si="11"/>
        <v>Normal</v>
      </c>
      <c r="N245" s="55"/>
    </row>
    <row r="246" spans="1:14" x14ac:dyDescent="0.3">
      <c r="A246" t="s">
        <v>33</v>
      </c>
      <c r="B246" t="s">
        <v>34</v>
      </c>
      <c r="C246" s="2">
        <v>46103</v>
      </c>
      <c r="D246">
        <v>158.1</v>
      </c>
      <c r="E246">
        <v>34.5</v>
      </c>
      <c r="F246" s="8">
        <f t="shared" si="9"/>
        <v>4.5826086956521737</v>
      </c>
      <c r="G246">
        <v>0.9</v>
      </c>
      <c r="H246">
        <v>3</v>
      </c>
      <c r="I246">
        <v>54.8</v>
      </c>
      <c r="J246">
        <v>87.3</v>
      </c>
      <c r="K246" t="str">
        <f>IF(COUNTIFS($A$2:A246, A246, $C$2:C246, C246)&gt;1, "Duplicate", "Unique")</f>
        <v>Unique</v>
      </c>
      <c r="L246" t="str">
        <f t="shared" si="10"/>
        <v>Normal</v>
      </c>
      <c r="M246" t="str">
        <f t="shared" si="11"/>
        <v>Normal</v>
      </c>
      <c r="N246" s="55"/>
    </row>
    <row r="247" spans="1:14" x14ac:dyDescent="0.3">
      <c r="A247" t="s">
        <v>33</v>
      </c>
      <c r="B247" t="s">
        <v>34</v>
      </c>
      <c r="C247" s="2">
        <v>46098</v>
      </c>
      <c r="D247">
        <v>159.9</v>
      </c>
      <c r="E247">
        <v>31.1</v>
      </c>
      <c r="F247" s="8">
        <f t="shared" si="9"/>
        <v>5.141479099678457</v>
      </c>
      <c r="G247">
        <v>1.6</v>
      </c>
      <c r="H247">
        <v>3</v>
      </c>
      <c r="I247">
        <v>65.5</v>
      </c>
      <c r="J247">
        <v>93.9</v>
      </c>
      <c r="K247" t="str">
        <f>IF(COUNTIFS($A$2:A247, A247, $C$2:C247, C247)&gt;1, "Duplicate", "Unique")</f>
        <v>Unique</v>
      </c>
      <c r="L247" t="str">
        <f t="shared" si="10"/>
        <v>Normal</v>
      </c>
      <c r="M247" t="str">
        <f t="shared" si="11"/>
        <v>Normal</v>
      </c>
      <c r="N247" s="55"/>
    </row>
    <row r="248" spans="1:14" x14ac:dyDescent="0.3">
      <c r="A248" t="s">
        <v>33</v>
      </c>
      <c r="B248" t="s">
        <v>34</v>
      </c>
      <c r="C248" s="2">
        <v>46040</v>
      </c>
      <c r="D248">
        <v>362.7</v>
      </c>
      <c r="E248">
        <v>101.3</v>
      </c>
      <c r="F248" s="8">
        <f t="shared" si="9"/>
        <v>3.5804540967423493</v>
      </c>
      <c r="G248">
        <v>0.7</v>
      </c>
      <c r="H248">
        <v>8</v>
      </c>
      <c r="I248">
        <v>63.6</v>
      </c>
      <c r="J248">
        <v>87.6</v>
      </c>
      <c r="K248" t="str">
        <f>IF(COUNTIFS($A$2:A248, A248, $C$2:C248, C248)&gt;1, "Duplicate", "Unique")</f>
        <v>Unique</v>
      </c>
      <c r="L248" t="str">
        <f t="shared" si="10"/>
        <v>Normal</v>
      </c>
      <c r="M248" t="str">
        <f t="shared" si="11"/>
        <v>Normal</v>
      </c>
      <c r="N248" s="55"/>
    </row>
    <row r="249" spans="1:14" x14ac:dyDescent="0.3">
      <c r="A249" t="s">
        <v>33</v>
      </c>
      <c r="B249" t="s">
        <v>34</v>
      </c>
      <c r="C249" s="2">
        <v>46064</v>
      </c>
      <c r="D249">
        <v>303.89999999999998</v>
      </c>
      <c r="E249">
        <v>73.2</v>
      </c>
      <c r="F249" s="8">
        <f t="shared" si="9"/>
        <v>4.1516393442622945</v>
      </c>
      <c r="G249">
        <v>4.3</v>
      </c>
      <c r="H249">
        <v>8</v>
      </c>
      <c r="I249">
        <v>34.700000000000003</v>
      </c>
      <c r="J249">
        <v>98.5</v>
      </c>
      <c r="K249" t="str">
        <f>IF(COUNTIFS($A$2:A249, A249, $C$2:C249, C249)&gt;1, "Duplicate", "Unique")</f>
        <v>Unique</v>
      </c>
      <c r="L249" t="str">
        <f t="shared" si="10"/>
        <v>Normal</v>
      </c>
      <c r="M249" t="str">
        <f t="shared" si="11"/>
        <v>Normal</v>
      </c>
      <c r="N249" s="55"/>
    </row>
    <row r="250" spans="1:14" x14ac:dyDescent="0.3">
      <c r="A250" t="s">
        <v>33</v>
      </c>
      <c r="B250" t="s">
        <v>34</v>
      </c>
      <c r="C250" s="2">
        <v>46028</v>
      </c>
      <c r="D250">
        <v>196.8</v>
      </c>
      <c r="E250">
        <v>54.1</v>
      </c>
      <c r="F250" s="8">
        <f t="shared" si="9"/>
        <v>3.6377079482439929</v>
      </c>
      <c r="G250">
        <v>1.9</v>
      </c>
      <c r="H250">
        <v>8</v>
      </c>
      <c r="I250">
        <v>41.4</v>
      </c>
      <c r="J250">
        <v>96.3</v>
      </c>
      <c r="K250" t="str">
        <f>IF(COUNTIFS($A$2:A250, A250, $C$2:C250, C250)&gt;1, "Duplicate", "Unique")</f>
        <v>Unique</v>
      </c>
      <c r="L250" t="str">
        <f t="shared" si="10"/>
        <v>Normal</v>
      </c>
      <c r="M250" t="str">
        <f t="shared" si="11"/>
        <v>Normal</v>
      </c>
      <c r="N250" s="55"/>
    </row>
    <row r="251" spans="1:14" x14ac:dyDescent="0.3">
      <c r="A251" t="s">
        <v>33</v>
      </c>
      <c r="B251" t="s">
        <v>34</v>
      </c>
      <c r="C251" s="2">
        <v>46059</v>
      </c>
      <c r="D251">
        <v>212.1</v>
      </c>
      <c r="E251">
        <v>43.2</v>
      </c>
      <c r="F251" s="8">
        <f t="shared" si="9"/>
        <v>4.9097222222222214</v>
      </c>
      <c r="G251">
        <v>3.9</v>
      </c>
      <c r="H251">
        <v>6</v>
      </c>
      <c r="I251">
        <v>42.3</v>
      </c>
      <c r="J251">
        <v>97</v>
      </c>
      <c r="K251" t="str">
        <f>IF(COUNTIFS($A$2:A251, A251, $C$2:C251, C251)&gt;1, "Duplicate", "Unique")</f>
        <v>Unique</v>
      </c>
      <c r="L251" t="str">
        <f t="shared" si="10"/>
        <v>Normal</v>
      </c>
      <c r="M251" t="str">
        <f t="shared" si="11"/>
        <v>Normal</v>
      </c>
      <c r="N251" s="55"/>
    </row>
    <row r="252" spans="1:14" x14ac:dyDescent="0.3">
      <c r="A252" t="s">
        <v>33</v>
      </c>
      <c r="B252" t="s">
        <v>34</v>
      </c>
      <c r="C252" s="2">
        <v>46077</v>
      </c>
      <c r="D252">
        <v>117.9</v>
      </c>
      <c r="E252">
        <v>23.4</v>
      </c>
      <c r="F252" s="8">
        <f t="shared" si="9"/>
        <v>5.0384615384615392</v>
      </c>
      <c r="G252">
        <v>3.4</v>
      </c>
      <c r="H252">
        <v>5</v>
      </c>
      <c r="I252">
        <v>69.400000000000006</v>
      </c>
      <c r="J252">
        <v>85.5</v>
      </c>
      <c r="K252" t="str">
        <f>IF(COUNTIFS($A$2:A252, A252, $C$2:C252, C252)&gt;1, "Duplicate", "Unique")</f>
        <v>Unique</v>
      </c>
      <c r="L252" t="str">
        <f t="shared" si="10"/>
        <v>Normal</v>
      </c>
      <c r="M252" t="str">
        <f t="shared" si="11"/>
        <v>Normal</v>
      </c>
      <c r="N252" s="55"/>
    </row>
    <row r="253" spans="1:14" x14ac:dyDescent="0.3">
      <c r="A253" t="s">
        <v>33</v>
      </c>
      <c r="B253" t="s">
        <v>34</v>
      </c>
      <c r="C253" s="2">
        <v>46030</v>
      </c>
      <c r="D253">
        <v>290.89999999999998</v>
      </c>
      <c r="E253">
        <v>68.7</v>
      </c>
      <c r="F253" s="8">
        <f t="shared" si="9"/>
        <v>4.2343522561863169</v>
      </c>
      <c r="G253">
        <v>2.8</v>
      </c>
      <c r="H253">
        <v>3</v>
      </c>
      <c r="I253">
        <v>44.6</v>
      </c>
      <c r="J253">
        <v>95.6</v>
      </c>
      <c r="K253" t="str">
        <f>IF(COUNTIFS($A$2:A253, A253, $C$2:C253, C253)&gt;1, "Duplicate", "Unique")</f>
        <v>Unique</v>
      </c>
      <c r="L253" t="str">
        <f t="shared" si="10"/>
        <v>Normal</v>
      </c>
      <c r="M253" t="str">
        <f t="shared" si="11"/>
        <v>Normal</v>
      </c>
      <c r="N253" s="55"/>
    </row>
    <row r="254" spans="1:14" x14ac:dyDescent="0.3">
      <c r="A254" t="s">
        <v>33</v>
      </c>
      <c r="B254" t="s">
        <v>34</v>
      </c>
      <c r="C254" s="2">
        <v>46103</v>
      </c>
      <c r="D254">
        <v>134.69999999999999</v>
      </c>
      <c r="E254">
        <v>30.6</v>
      </c>
      <c r="F254" s="8">
        <f t="shared" si="9"/>
        <v>4.401960784313725</v>
      </c>
      <c r="G254">
        <v>1.6</v>
      </c>
      <c r="H254">
        <v>2</v>
      </c>
      <c r="I254">
        <v>33.9</v>
      </c>
      <c r="J254">
        <v>93.3</v>
      </c>
      <c r="K254" t="str">
        <f>IF(COUNTIFS($A$2:A254, A254, $C$2:C254, C254)&gt;1, "Duplicate", "Unique")</f>
        <v>Duplicate</v>
      </c>
      <c r="L254" t="str">
        <f t="shared" si="10"/>
        <v>Normal</v>
      </c>
      <c r="M254" t="str">
        <f t="shared" si="11"/>
        <v>Normal</v>
      </c>
      <c r="N254" s="55"/>
    </row>
    <row r="255" spans="1:14" x14ac:dyDescent="0.3">
      <c r="A255" t="s">
        <v>33</v>
      </c>
      <c r="B255" t="s">
        <v>34</v>
      </c>
      <c r="C255" s="2">
        <v>46057</v>
      </c>
      <c r="D255">
        <v>321.10000000000002</v>
      </c>
      <c r="E255">
        <v>76.7</v>
      </c>
      <c r="F255" s="8">
        <f t="shared" si="9"/>
        <v>4.1864406779661021</v>
      </c>
      <c r="G255">
        <v>3.9</v>
      </c>
      <c r="H255">
        <v>1</v>
      </c>
      <c r="I255">
        <v>51.3</v>
      </c>
      <c r="J255">
        <v>87</v>
      </c>
      <c r="K255" t="str">
        <f>IF(COUNTIFS($A$2:A255, A255, $C$2:C255, C255)&gt;1, "Duplicate", "Unique")</f>
        <v>Unique</v>
      </c>
      <c r="L255" t="str">
        <f t="shared" si="10"/>
        <v>Normal</v>
      </c>
      <c r="M255" t="str">
        <f t="shared" si="11"/>
        <v>Normal</v>
      </c>
      <c r="N255" s="55"/>
    </row>
    <row r="256" spans="1:14" x14ac:dyDescent="0.3">
      <c r="A256" t="s">
        <v>33</v>
      </c>
      <c r="B256" t="s">
        <v>34</v>
      </c>
      <c r="C256" s="2">
        <v>46070</v>
      </c>
      <c r="D256">
        <v>431.5</v>
      </c>
      <c r="E256">
        <v>82.8</v>
      </c>
      <c r="F256" s="8">
        <f t="shared" si="9"/>
        <v>5.2113526570048307</v>
      </c>
      <c r="G256">
        <v>3.5</v>
      </c>
      <c r="H256">
        <v>4</v>
      </c>
      <c r="I256">
        <v>30.8</v>
      </c>
      <c r="J256">
        <v>85.1</v>
      </c>
      <c r="K256" t="str">
        <f>IF(COUNTIFS($A$2:A256, A256, $C$2:C256, C256)&gt;1, "Duplicate", "Unique")</f>
        <v>Unique</v>
      </c>
      <c r="L256" t="str">
        <f t="shared" si="10"/>
        <v>Normal</v>
      </c>
      <c r="M256" t="str">
        <f t="shared" si="11"/>
        <v>Normal</v>
      </c>
      <c r="N256" s="55"/>
    </row>
    <row r="257" spans="1:14" x14ac:dyDescent="0.3">
      <c r="A257" t="s">
        <v>33</v>
      </c>
      <c r="B257" t="s">
        <v>34</v>
      </c>
      <c r="C257" s="2">
        <v>46107</v>
      </c>
      <c r="D257">
        <v>202.8</v>
      </c>
      <c r="F257" s="8">
        <f t="shared" si="9"/>
        <v>0</v>
      </c>
      <c r="G257">
        <v>1.1000000000000001</v>
      </c>
      <c r="H257">
        <v>8</v>
      </c>
      <c r="I257">
        <v>74.8</v>
      </c>
      <c r="J257">
        <v>97.4</v>
      </c>
      <c r="K257" t="str">
        <f>IF(COUNTIFS($A$2:A257, A257, $C$2:C257, C257)&gt;1, "Duplicate", "Unique")</f>
        <v>Unique</v>
      </c>
      <c r="L257" t="str">
        <f t="shared" si="10"/>
        <v>Normal</v>
      </c>
      <c r="M257">
        <f t="shared" si="11"/>
        <v>0</v>
      </c>
      <c r="N257" s="55"/>
    </row>
    <row r="258" spans="1:14" x14ac:dyDescent="0.3">
      <c r="A258" t="s">
        <v>33</v>
      </c>
      <c r="B258" t="s">
        <v>34</v>
      </c>
      <c r="C258" s="2">
        <v>46110</v>
      </c>
      <c r="D258">
        <v>237</v>
      </c>
      <c r="E258">
        <v>76.900000000000006</v>
      </c>
      <c r="F258" s="8">
        <f t="shared" si="9"/>
        <v>3.0819245773732118</v>
      </c>
      <c r="G258">
        <v>2.5</v>
      </c>
      <c r="H258">
        <v>7</v>
      </c>
      <c r="I258">
        <v>59.1</v>
      </c>
      <c r="J258">
        <v>99.1</v>
      </c>
      <c r="K258" t="str">
        <f>IF(COUNTIFS($A$2:A258, A258, $C$2:C258, C258)&gt;1, "Duplicate", "Unique")</f>
        <v>Unique</v>
      </c>
      <c r="L258" t="str">
        <f t="shared" si="10"/>
        <v>Normal</v>
      </c>
      <c r="M258" t="str">
        <f t="shared" si="11"/>
        <v>Normal</v>
      </c>
      <c r="N258" s="55"/>
    </row>
    <row r="259" spans="1:14" x14ac:dyDescent="0.3">
      <c r="A259" t="s">
        <v>33</v>
      </c>
      <c r="B259" t="s">
        <v>34</v>
      </c>
      <c r="C259" s="2">
        <v>46098</v>
      </c>
      <c r="D259">
        <v>139.69999999999999</v>
      </c>
      <c r="E259">
        <v>27.7</v>
      </c>
      <c r="F259" s="8">
        <f t="shared" ref="F259:F322" si="12">IFERROR(D259/E259,0)</f>
        <v>5.0433212996389889</v>
      </c>
      <c r="G259">
        <v>0.3</v>
      </c>
      <c r="H259">
        <v>1</v>
      </c>
      <c r="I259">
        <v>35.799999999999997</v>
      </c>
      <c r="J259">
        <v>93.9</v>
      </c>
      <c r="K259" t="str">
        <f>IF(COUNTIFS($A$2:A259, A259, $C$2:C259, C259)&gt;1, "Duplicate", "Unique")</f>
        <v>Duplicate</v>
      </c>
      <c r="L259" t="str">
        <f t="shared" ref="L259:L322" si="13">IF(G259 &gt; (AVERAGE($G$2:$G$811) + (3 * _xlfn.STDEV.P($G$2:$G$811))), "Extreme Idle Outlier", "Normal")</f>
        <v>Normal</v>
      </c>
      <c r="M259" t="str">
        <f t="shared" ref="M259:M322" si="14">IFERROR(IF((D259 / E259) &lt; 3, "Suspiciously Low Efficiency", "Normal"),0)</f>
        <v>Normal</v>
      </c>
      <c r="N259" s="55"/>
    </row>
    <row r="260" spans="1:14" x14ac:dyDescent="0.3">
      <c r="A260" t="s">
        <v>33</v>
      </c>
      <c r="B260" t="s">
        <v>34</v>
      </c>
      <c r="C260" s="2">
        <v>46111</v>
      </c>
      <c r="D260">
        <v>377.6</v>
      </c>
      <c r="E260">
        <v>96.7</v>
      </c>
      <c r="F260" s="8">
        <f t="shared" si="12"/>
        <v>3.9048603929679424</v>
      </c>
      <c r="G260">
        <v>0.7</v>
      </c>
      <c r="H260">
        <v>7</v>
      </c>
      <c r="I260">
        <v>59.3</v>
      </c>
      <c r="J260">
        <v>88.8</v>
      </c>
      <c r="K260" t="str">
        <f>IF(COUNTIFS($A$2:A260, A260, $C$2:C260, C260)&gt;1, "Duplicate", "Unique")</f>
        <v>Unique</v>
      </c>
      <c r="L260" t="str">
        <f t="shared" si="13"/>
        <v>Normal</v>
      </c>
      <c r="M260" t="str">
        <f t="shared" si="14"/>
        <v>Normal</v>
      </c>
      <c r="N260" s="55"/>
    </row>
    <row r="261" spans="1:14" x14ac:dyDescent="0.3">
      <c r="A261" t="s">
        <v>33</v>
      </c>
      <c r="B261" t="s">
        <v>34</v>
      </c>
      <c r="C261" s="2">
        <v>46041</v>
      </c>
      <c r="D261">
        <v>376</v>
      </c>
      <c r="E261">
        <v>78.400000000000006</v>
      </c>
      <c r="F261" s="8">
        <f t="shared" si="12"/>
        <v>4.7959183673469381</v>
      </c>
      <c r="G261">
        <v>2.2000000000000002</v>
      </c>
      <c r="H261">
        <v>1</v>
      </c>
      <c r="I261">
        <v>37.9</v>
      </c>
      <c r="J261">
        <v>92.5</v>
      </c>
      <c r="K261" t="str">
        <f>IF(COUNTIFS($A$2:A261, A261, $C$2:C261, C261)&gt;1, "Duplicate", "Unique")</f>
        <v>Unique</v>
      </c>
      <c r="L261" t="str">
        <f t="shared" si="13"/>
        <v>Normal</v>
      </c>
      <c r="M261" t="str">
        <f t="shared" si="14"/>
        <v>Normal</v>
      </c>
      <c r="N261" s="55"/>
    </row>
    <row r="262" spans="1:14" x14ac:dyDescent="0.3">
      <c r="A262" t="s">
        <v>33</v>
      </c>
      <c r="B262" t="s">
        <v>34</v>
      </c>
      <c r="C262" s="2">
        <v>46066</v>
      </c>
      <c r="D262">
        <v>235.5</v>
      </c>
      <c r="E262">
        <v>47.9</v>
      </c>
      <c r="F262" s="8">
        <f t="shared" si="12"/>
        <v>4.916492693110647</v>
      </c>
      <c r="G262">
        <v>2.2999999999999998</v>
      </c>
      <c r="H262">
        <v>6</v>
      </c>
      <c r="I262">
        <v>50.9</v>
      </c>
      <c r="J262">
        <v>96.9</v>
      </c>
      <c r="K262" t="str">
        <f>IF(COUNTIFS($A$2:A262, A262, $C$2:C262, C262)&gt;1, "Duplicate", "Unique")</f>
        <v>Unique</v>
      </c>
      <c r="L262" t="str">
        <f t="shared" si="13"/>
        <v>Normal</v>
      </c>
      <c r="M262" t="str">
        <f t="shared" si="14"/>
        <v>Normal</v>
      </c>
      <c r="N262" s="55"/>
    </row>
    <row r="263" spans="1:14" x14ac:dyDescent="0.3">
      <c r="A263" t="s">
        <v>33</v>
      </c>
      <c r="B263" t="s">
        <v>34</v>
      </c>
      <c r="C263" s="2">
        <v>46055</v>
      </c>
      <c r="D263">
        <v>382.4</v>
      </c>
      <c r="E263">
        <v>75.900000000000006</v>
      </c>
      <c r="F263" s="8">
        <f t="shared" si="12"/>
        <v>5.0382081686429503</v>
      </c>
      <c r="G263">
        <v>0.7</v>
      </c>
      <c r="H263">
        <v>4</v>
      </c>
      <c r="I263">
        <v>47.3</v>
      </c>
      <c r="J263">
        <v>99.6</v>
      </c>
      <c r="K263" t="str">
        <f>IF(COUNTIFS($A$2:A263, A263, $C$2:C263, C263)&gt;1, "Duplicate", "Unique")</f>
        <v>Unique</v>
      </c>
      <c r="L263" t="str">
        <f t="shared" si="13"/>
        <v>Normal</v>
      </c>
      <c r="M263" t="str">
        <f t="shared" si="14"/>
        <v>Normal</v>
      </c>
      <c r="N263" s="55"/>
    </row>
    <row r="264" spans="1:14" x14ac:dyDescent="0.3">
      <c r="A264" t="s">
        <v>33</v>
      </c>
      <c r="B264" t="s">
        <v>34</v>
      </c>
      <c r="C264" s="2">
        <v>46069</v>
      </c>
      <c r="D264">
        <v>408.4</v>
      </c>
      <c r="E264">
        <v>79.599999999999994</v>
      </c>
      <c r="F264" s="8">
        <f t="shared" si="12"/>
        <v>5.1306532663316586</v>
      </c>
      <c r="G264">
        <v>1.1000000000000001</v>
      </c>
      <c r="H264">
        <v>2</v>
      </c>
      <c r="I264">
        <v>40.6</v>
      </c>
      <c r="J264">
        <v>91.5</v>
      </c>
      <c r="K264" t="str">
        <f>IF(COUNTIFS($A$2:A264, A264, $C$2:C264, C264)&gt;1, "Duplicate", "Unique")</f>
        <v>Unique</v>
      </c>
      <c r="L264" t="str">
        <f t="shared" si="13"/>
        <v>Normal</v>
      </c>
      <c r="M264" t="str">
        <f t="shared" si="14"/>
        <v>Normal</v>
      </c>
      <c r="N264" s="55"/>
    </row>
    <row r="265" spans="1:14" x14ac:dyDescent="0.3">
      <c r="A265" t="s">
        <v>33</v>
      </c>
      <c r="B265" t="s">
        <v>34</v>
      </c>
      <c r="C265" s="2">
        <v>46071</v>
      </c>
      <c r="D265">
        <v>363.3</v>
      </c>
      <c r="E265">
        <v>68.5</v>
      </c>
      <c r="F265" s="8">
        <f t="shared" si="12"/>
        <v>5.3036496350364963</v>
      </c>
      <c r="G265">
        <v>1.3</v>
      </c>
      <c r="H265">
        <v>8</v>
      </c>
      <c r="I265">
        <v>50.1</v>
      </c>
      <c r="J265">
        <v>91</v>
      </c>
      <c r="K265" t="str">
        <f>IF(COUNTIFS($A$2:A265, A265, $C$2:C265, C265)&gt;1, "Duplicate", "Unique")</f>
        <v>Unique</v>
      </c>
      <c r="L265" t="str">
        <f t="shared" si="13"/>
        <v>Normal</v>
      </c>
      <c r="M265" t="str">
        <f t="shared" si="14"/>
        <v>Normal</v>
      </c>
      <c r="N265" s="55"/>
    </row>
    <row r="266" spans="1:14" x14ac:dyDescent="0.3">
      <c r="A266" t="s">
        <v>33</v>
      </c>
      <c r="B266" t="s">
        <v>34</v>
      </c>
      <c r="C266" s="2">
        <v>46063</v>
      </c>
      <c r="D266">
        <v>88</v>
      </c>
      <c r="E266">
        <v>17.5</v>
      </c>
      <c r="F266" s="8">
        <f t="shared" si="12"/>
        <v>5.0285714285714285</v>
      </c>
      <c r="G266">
        <v>3.2</v>
      </c>
      <c r="H266">
        <v>5</v>
      </c>
      <c r="I266">
        <v>71.400000000000006</v>
      </c>
      <c r="J266">
        <v>92.7</v>
      </c>
      <c r="K266" t="str">
        <f>IF(COUNTIFS($A$2:A266, A266, $C$2:C266, C266)&gt;1, "Duplicate", "Unique")</f>
        <v>Unique</v>
      </c>
      <c r="L266" t="str">
        <f t="shared" si="13"/>
        <v>Normal</v>
      </c>
      <c r="M266" t="str">
        <f t="shared" si="14"/>
        <v>Normal</v>
      </c>
      <c r="N266" s="55"/>
    </row>
    <row r="267" spans="1:14" x14ac:dyDescent="0.3">
      <c r="A267" t="s">
        <v>33</v>
      </c>
      <c r="B267" t="s">
        <v>34</v>
      </c>
      <c r="C267" s="2">
        <v>46112</v>
      </c>
      <c r="D267">
        <v>308.60000000000002</v>
      </c>
      <c r="E267">
        <v>104.8</v>
      </c>
      <c r="F267" s="8">
        <f t="shared" si="12"/>
        <v>2.9446564885496187</v>
      </c>
      <c r="G267">
        <v>3</v>
      </c>
      <c r="H267">
        <v>1</v>
      </c>
      <c r="I267">
        <v>33</v>
      </c>
      <c r="J267">
        <v>94.9</v>
      </c>
      <c r="K267" t="str">
        <f>IF(COUNTIFS($A$2:A267, A267, $C$2:C267, C267)&gt;1, "Duplicate", "Unique")</f>
        <v>Unique</v>
      </c>
      <c r="L267" t="str">
        <f t="shared" si="13"/>
        <v>Normal</v>
      </c>
      <c r="M267" t="str">
        <f t="shared" si="14"/>
        <v>Suspiciously Low Efficiency</v>
      </c>
      <c r="N267" s="55"/>
    </row>
    <row r="268" spans="1:14" x14ac:dyDescent="0.3">
      <c r="A268" t="s">
        <v>33</v>
      </c>
      <c r="B268" t="s">
        <v>34</v>
      </c>
      <c r="C268" s="2">
        <v>46040</v>
      </c>
      <c r="D268">
        <v>194.3</v>
      </c>
      <c r="E268">
        <v>41.3</v>
      </c>
      <c r="F268" s="8">
        <f t="shared" si="12"/>
        <v>4.7046004842615021</v>
      </c>
      <c r="G268">
        <v>2.5</v>
      </c>
      <c r="H268">
        <v>3</v>
      </c>
      <c r="I268">
        <v>49.4</v>
      </c>
      <c r="J268">
        <v>98.6</v>
      </c>
      <c r="K268" t="str">
        <f>IF(COUNTIFS($A$2:A268, A268, $C$2:C268, C268)&gt;1, "Duplicate", "Unique")</f>
        <v>Duplicate</v>
      </c>
      <c r="L268" t="str">
        <f t="shared" si="13"/>
        <v>Normal</v>
      </c>
      <c r="M268" t="str">
        <f t="shared" si="14"/>
        <v>Normal</v>
      </c>
      <c r="N268" s="55"/>
    </row>
    <row r="269" spans="1:14" x14ac:dyDescent="0.3">
      <c r="A269" t="s">
        <v>33</v>
      </c>
      <c r="B269" t="s">
        <v>34</v>
      </c>
      <c r="C269" s="2">
        <v>46112</v>
      </c>
      <c r="D269">
        <v>157.30000000000001</v>
      </c>
      <c r="E269">
        <v>53.2</v>
      </c>
      <c r="F269" s="8">
        <f t="shared" si="12"/>
        <v>2.9567669172932329</v>
      </c>
      <c r="G269">
        <v>2.7</v>
      </c>
      <c r="H269">
        <v>2</v>
      </c>
      <c r="I269">
        <v>51.8</v>
      </c>
      <c r="J269">
        <v>95.3</v>
      </c>
      <c r="K269" t="str">
        <f>IF(COUNTIFS($A$2:A269, A269, $C$2:C269, C269)&gt;1, "Duplicate", "Unique")</f>
        <v>Duplicate</v>
      </c>
      <c r="L269" t="str">
        <f t="shared" si="13"/>
        <v>Normal</v>
      </c>
      <c r="M269" t="str">
        <f t="shared" si="14"/>
        <v>Suspiciously Low Efficiency</v>
      </c>
      <c r="N269" s="55"/>
    </row>
    <row r="270" spans="1:14" x14ac:dyDescent="0.3">
      <c r="A270" t="s">
        <v>33</v>
      </c>
      <c r="B270" t="s">
        <v>34</v>
      </c>
      <c r="C270" s="2">
        <v>46047</v>
      </c>
      <c r="D270">
        <v>186</v>
      </c>
      <c r="E270">
        <v>43.9</v>
      </c>
      <c r="F270" s="8">
        <f t="shared" si="12"/>
        <v>4.236902050113895</v>
      </c>
      <c r="G270">
        <v>3.5</v>
      </c>
      <c r="H270">
        <v>2</v>
      </c>
      <c r="I270">
        <v>42.3</v>
      </c>
      <c r="J270">
        <v>87.4</v>
      </c>
      <c r="K270" t="str">
        <f>IF(COUNTIFS($A$2:A270, A270, $C$2:C270, C270)&gt;1, "Duplicate", "Unique")</f>
        <v>Unique</v>
      </c>
      <c r="L270" t="str">
        <f t="shared" si="13"/>
        <v>Normal</v>
      </c>
      <c r="M270" t="str">
        <f t="shared" si="14"/>
        <v>Normal</v>
      </c>
      <c r="N270" s="55"/>
    </row>
    <row r="271" spans="1:14" x14ac:dyDescent="0.3">
      <c r="A271" t="s">
        <v>33</v>
      </c>
      <c r="B271" t="s">
        <v>34</v>
      </c>
      <c r="C271" s="2">
        <v>46107</v>
      </c>
      <c r="D271">
        <v>144.19999999999999</v>
      </c>
      <c r="E271">
        <v>45.4</v>
      </c>
      <c r="F271" s="8">
        <f t="shared" si="12"/>
        <v>3.1762114537444934</v>
      </c>
      <c r="G271">
        <v>2.6</v>
      </c>
      <c r="H271">
        <v>6</v>
      </c>
      <c r="I271">
        <v>67.8</v>
      </c>
      <c r="J271">
        <v>87.3</v>
      </c>
      <c r="K271" t="str">
        <f>IF(COUNTIFS($A$2:A271, A271, $C$2:C271, C271)&gt;1, "Duplicate", "Unique")</f>
        <v>Duplicate</v>
      </c>
      <c r="L271" t="str">
        <f t="shared" si="13"/>
        <v>Normal</v>
      </c>
      <c r="M271" t="str">
        <f t="shared" si="14"/>
        <v>Normal</v>
      </c>
      <c r="N271" s="55"/>
    </row>
    <row r="272" spans="1:14" x14ac:dyDescent="0.3">
      <c r="A272" t="s">
        <v>33</v>
      </c>
      <c r="B272" t="s">
        <v>34</v>
      </c>
      <c r="C272" s="2">
        <v>46045</v>
      </c>
      <c r="D272">
        <v>285.2</v>
      </c>
      <c r="E272">
        <v>52.7</v>
      </c>
      <c r="F272" s="8">
        <f t="shared" si="12"/>
        <v>5.4117647058823524</v>
      </c>
      <c r="G272">
        <v>3</v>
      </c>
      <c r="H272">
        <v>5</v>
      </c>
      <c r="I272">
        <v>61.3</v>
      </c>
      <c r="J272">
        <v>98.4</v>
      </c>
      <c r="K272" t="str">
        <f>IF(COUNTIFS($A$2:A272, A272, $C$2:C272, C272)&gt;1, "Duplicate", "Unique")</f>
        <v>Unique</v>
      </c>
      <c r="L272" t="str">
        <f t="shared" si="13"/>
        <v>Normal</v>
      </c>
      <c r="M272" t="str">
        <f t="shared" si="14"/>
        <v>Normal</v>
      </c>
      <c r="N272" s="55"/>
    </row>
    <row r="273" spans="1:14" x14ac:dyDescent="0.3">
      <c r="A273" t="s">
        <v>33</v>
      </c>
      <c r="B273" t="s">
        <v>34</v>
      </c>
      <c r="C273" s="2">
        <v>46028</v>
      </c>
      <c r="D273">
        <v>299.39999999999998</v>
      </c>
      <c r="E273">
        <v>80.8</v>
      </c>
      <c r="F273" s="8">
        <f t="shared" si="12"/>
        <v>3.7054455445544554</v>
      </c>
      <c r="G273">
        <v>0.7</v>
      </c>
      <c r="H273">
        <v>3</v>
      </c>
      <c r="I273">
        <v>64.099999999999994</v>
      </c>
      <c r="J273">
        <v>87.5</v>
      </c>
      <c r="K273" t="str">
        <f>IF(COUNTIFS($A$2:A273, A273, $C$2:C273, C273)&gt;1, "Duplicate", "Unique")</f>
        <v>Duplicate</v>
      </c>
      <c r="L273" t="str">
        <f t="shared" si="13"/>
        <v>Normal</v>
      </c>
      <c r="M273" t="str">
        <f t="shared" si="14"/>
        <v>Normal</v>
      </c>
      <c r="N273" s="55"/>
    </row>
    <row r="274" spans="1:14" x14ac:dyDescent="0.3">
      <c r="A274" t="s">
        <v>33</v>
      </c>
      <c r="B274" t="s">
        <v>34</v>
      </c>
      <c r="C274" s="2">
        <v>46058</v>
      </c>
      <c r="D274">
        <v>99.6</v>
      </c>
      <c r="E274">
        <v>32.1</v>
      </c>
      <c r="F274" s="8">
        <f t="shared" si="12"/>
        <v>3.1028037383177569</v>
      </c>
      <c r="G274">
        <v>0.8</v>
      </c>
      <c r="H274">
        <v>8</v>
      </c>
      <c r="I274">
        <v>52.4</v>
      </c>
      <c r="J274">
        <v>87.4</v>
      </c>
      <c r="K274" t="str">
        <f>IF(COUNTIFS($A$2:A274, A274, $C$2:C274, C274)&gt;1, "Duplicate", "Unique")</f>
        <v>Unique</v>
      </c>
      <c r="L274" t="str">
        <f t="shared" si="13"/>
        <v>Normal</v>
      </c>
      <c r="M274" t="str">
        <f t="shared" si="14"/>
        <v>Normal</v>
      </c>
      <c r="N274" s="55"/>
    </row>
    <row r="275" spans="1:14" x14ac:dyDescent="0.3">
      <c r="A275" t="s">
        <v>33</v>
      </c>
      <c r="B275" t="s">
        <v>34</v>
      </c>
      <c r="C275" s="2">
        <v>46094</v>
      </c>
      <c r="D275">
        <v>341.6</v>
      </c>
      <c r="E275">
        <v>74.3</v>
      </c>
      <c r="F275" s="8">
        <f t="shared" si="12"/>
        <v>4.5975773889636615</v>
      </c>
      <c r="G275">
        <v>4.4000000000000004</v>
      </c>
      <c r="H275">
        <v>3</v>
      </c>
      <c r="I275">
        <v>46.8</v>
      </c>
      <c r="J275">
        <v>93.1</v>
      </c>
      <c r="K275" t="str">
        <f>IF(COUNTIFS($A$2:A275, A275, $C$2:C275, C275)&gt;1, "Duplicate", "Unique")</f>
        <v>Unique</v>
      </c>
      <c r="L275" t="str">
        <f t="shared" si="13"/>
        <v>Normal</v>
      </c>
      <c r="M275" t="str">
        <f t="shared" si="14"/>
        <v>Normal</v>
      </c>
      <c r="N275" s="55"/>
    </row>
    <row r="276" spans="1:14" x14ac:dyDescent="0.3">
      <c r="A276" t="s">
        <v>33</v>
      </c>
      <c r="B276" t="s">
        <v>34</v>
      </c>
      <c r="C276" s="2">
        <v>46025</v>
      </c>
      <c r="D276">
        <v>110.9</v>
      </c>
      <c r="E276">
        <v>21.8</v>
      </c>
      <c r="F276" s="8">
        <f t="shared" si="12"/>
        <v>5.0871559633027523</v>
      </c>
      <c r="G276">
        <v>3.1</v>
      </c>
      <c r="H276">
        <v>2</v>
      </c>
      <c r="I276">
        <v>73.900000000000006</v>
      </c>
      <c r="J276">
        <v>90.9</v>
      </c>
      <c r="K276" t="str">
        <f>IF(COUNTIFS($A$2:A276, A276, $C$2:C276, C276)&gt;1, "Duplicate", "Unique")</f>
        <v>Unique</v>
      </c>
      <c r="L276" t="str">
        <f t="shared" si="13"/>
        <v>Normal</v>
      </c>
      <c r="M276" t="str">
        <f t="shared" si="14"/>
        <v>Normal</v>
      </c>
      <c r="N276" s="55"/>
    </row>
    <row r="277" spans="1:14" x14ac:dyDescent="0.3">
      <c r="A277" t="s">
        <v>19</v>
      </c>
      <c r="B277" t="s">
        <v>20</v>
      </c>
      <c r="C277" s="2">
        <v>46060</v>
      </c>
      <c r="D277">
        <v>444.5</v>
      </c>
      <c r="E277">
        <v>87</v>
      </c>
      <c r="F277" s="8">
        <f t="shared" si="12"/>
        <v>5.1091954022988508</v>
      </c>
      <c r="G277">
        <v>3.9</v>
      </c>
      <c r="H277">
        <v>7</v>
      </c>
      <c r="I277">
        <v>42.5</v>
      </c>
      <c r="J277">
        <v>94.5</v>
      </c>
      <c r="K277" t="str">
        <f>IF(COUNTIFS($A$2:A277, A277, $C$2:C277, C277)&gt;1, "Duplicate", "Unique")</f>
        <v>Unique</v>
      </c>
      <c r="L277" t="str">
        <f t="shared" si="13"/>
        <v>Normal</v>
      </c>
      <c r="M277" t="str">
        <f t="shared" si="14"/>
        <v>Normal</v>
      </c>
      <c r="N277" s="55"/>
    </row>
    <row r="278" spans="1:14" x14ac:dyDescent="0.3">
      <c r="A278" t="s">
        <v>19</v>
      </c>
      <c r="B278" t="s">
        <v>20</v>
      </c>
      <c r="C278" s="2">
        <v>46043</v>
      </c>
      <c r="D278">
        <v>251</v>
      </c>
      <c r="E278">
        <v>71.099999999999994</v>
      </c>
      <c r="F278" s="8">
        <f t="shared" si="12"/>
        <v>3.5302390998593531</v>
      </c>
      <c r="G278">
        <v>4.2</v>
      </c>
      <c r="H278">
        <v>4</v>
      </c>
      <c r="I278">
        <v>60.8</v>
      </c>
      <c r="J278">
        <v>97.6</v>
      </c>
      <c r="K278" t="str">
        <f>IF(COUNTIFS($A$2:A278, A278, $C$2:C278, C278)&gt;1, "Duplicate", "Unique")</f>
        <v>Unique</v>
      </c>
      <c r="L278" t="str">
        <f t="shared" si="13"/>
        <v>Normal</v>
      </c>
      <c r="M278" t="str">
        <f t="shared" si="14"/>
        <v>Normal</v>
      </c>
      <c r="N278" s="55"/>
    </row>
    <row r="279" spans="1:14" x14ac:dyDescent="0.3">
      <c r="A279" t="s">
        <v>19</v>
      </c>
      <c r="B279" t="s">
        <v>20</v>
      </c>
      <c r="C279" s="2">
        <v>46023</v>
      </c>
      <c r="D279">
        <v>106.3</v>
      </c>
      <c r="E279">
        <v>23.6</v>
      </c>
      <c r="F279" s="8">
        <f t="shared" si="12"/>
        <v>4.5042372881355925</v>
      </c>
      <c r="G279">
        <v>1.2</v>
      </c>
      <c r="H279">
        <v>1</v>
      </c>
      <c r="I279">
        <v>68.7</v>
      </c>
      <c r="J279">
        <v>86.1</v>
      </c>
      <c r="K279" t="str">
        <f>IF(COUNTIFS($A$2:A279, A279, $C$2:C279, C279)&gt;1, "Duplicate", "Unique")</f>
        <v>Unique</v>
      </c>
      <c r="L279" t="str">
        <f t="shared" si="13"/>
        <v>Normal</v>
      </c>
      <c r="M279" t="str">
        <f t="shared" si="14"/>
        <v>Normal</v>
      </c>
      <c r="N279" s="55"/>
    </row>
    <row r="280" spans="1:14" x14ac:dyDescent="0.3">
      <c r="A280" t="s">
        <v>19</v>
      </c>
      <c r="B280" t="s">
        <v>20</v>
      </c>
      <c r="C280" s="2">
        <v>46058</v>
      </c>
      <c r="D280">
        <v>327.5</v>
      </c>
      <c r="E280">
        <v>96.9</v>
      </c>
      <c r="F280" s="8">
        <f t="shared" si="12"/>
        <v>3.3797729618163053</v>
      </c>
      <c r="G280">
        <v>0.8</v>
      </c>
      <c r="H280">
        <v>8</v>
      </c>
      <c r="I280">
        <v>40.9</v>
      </c>
      <c r="J280">
        <v>92.1</v>
      </c>
      <c r="K280" t="str">
        <f>IF(COUNTIFS($A$2:A280, A280, $C$2:C280, C280)&gt;1, "Duplicate", "Unique")</f>
        <v>Unique</v>
      </c>
      <c r="L280" t="str">
        <f t="shared" si="13"/>
        <v>Normal</v>
      </c>
      <c r="M280" t="str">
        <f t="shared" si="14"/>
        <v>Normal</v>
      </c>
      <c r="N280" s="55"/>
    </row>
    <row r="281" spans="1:14" x14ac:dyDescent="0.3">
      <c r="A281" t="s">
        <v>19</v>
      </c>
      <c r="B281" t="s">
        <v>20</v>
      </c>
      <c r="C281" s="2">
        <v>46074</v>
      </c>
      <c r="D281">
        <v>124.4</v>
      </c>
      <c r="E281">
        <v>23.9</v>
      </c>
      <c r="F281" s="8">
        <f t="shared" si="12"/>
        <v>5.2050209205020925</v>
      </c>
      <c r="G281">
        <v>1.3</v>
      </c>
      <c r="H281">
        <v>1</v>
      </c>
      <c r="I281">
        <v>57.9</v>
      </c>
      <c r="J281">
        <v>91.3</v>
      </c>
      <c r="K281" t="str">
        <f>IF(COUNTIFS($A$2:A281, A281, $C$2:C281, C281)&gt;1, "Duplicate", "Unique")</f>
        <v>Unique</v>
      </c>
      <c r="L281" t="str">
        <f t="shared" si="13"/>
        <v>Normal</v>
      </c>
      <c r="M281" t="str">
        <f t="shared" si="14"/>
        <v>Normal</v>
      </c>
      <c r="N281" s="55"/>
    </row>
    <row r="282" spans="1:14" x14ac:dyDescent="0.3">
      <c r="A282" t="s">
        <v>19</v>
      </c>
      <c r="B282" t="s">
        <v>20</v>
      </c>
      <c r="C282" s="2">
        <v>46108</v>
      </c>
      <c r="D282">
        <v>118</v>
      </c>
      <c r="E282">
        <v>24.1</v>
      </c>
      <c r="F282" s="8">
        <f t="shared" si="12"/>
        <v>4.8962655601659746</v>
      </c>
      <c r="G282">
        <v>4</v>
      </c>
      <c r="H282">
        <v>7</v>
      </c>
      <c r="I282">
        <v>73.8</v>
      </c>
      <c r="J282">
        <v>96.2</v>
      </c>
      <c r="K282" t="str">
        <f>IF(COUNTIFS($A$2:A282, A282, $C$2:C282, C282)&gt;1, "Duplicate", "Unique")</f>
        <v>Unique</v>
      </c>
      <c r="L282" t="str">
        <f t="shared" si="13"/>
        <v>Normal</v>
      </c>
      <c r="M282" t="str">
        <f t="shared" si="14"/>
        <v>Normal</v>
      </c>
      <c r="N282" s="55"/>
    </row>
    <row r="283" spans="1:14" x14ac:dyDescent="0.3">
      <c r="A283" t="s">
        <v>19</v>
      </c>
      <c r="B283" t="s">
        <v>20</v>
      </c>
      <c r="C283" s="2">
        <v>46043</v>
      </c>
      <c r="D283">
        <v>441.2</v>
      </c>
      <c r="E283">
        <v>88.4</v>
      </c>
      <c r="F283" s="8">
        <f t="shared" si="12"/>
        <v>4.990950226244343</v>
      </c>
      <c r="G283">
        <v>4</v>
      </c>
      <c r="H283">
        <v>1</v>
      </c>
      <c r="I283">
        <v>38.1</v>
      </c>
      <c r="J283">
        <v>98.9</v>
      </c>
      <c r="K283" t="str">
        <f>IF(COUNTIFS($A$2:A283, A283, $C$2:C283, C283)&gt;1, "Duplicate", "Unique")</f>
        <v>Duplicate</v>
      </c>
      <c r="L283" t="str">
        <f t="shared" si="13"/>
        <v>Normal</v>
      </c>
      <c r="M283" t="str">
        <f t="shared" si="14"/>
        <v>Normal</v>
      </c>
      <c r="N283" s="55"/>
    </row>
    <row r="284" spans="1:14" x14ac:dyDescent="0.3">
      <c r="A284" t="s">
        <v>19</v>
      </c>
      <c r="B284" t="s">
        <v>20</v>
      </c>
      <c r="C284" s="2">
        <v>46109</v>
      </c>
      <c r="D284">
        <v>194.9</v>
      </c>
      <c r="E284">
        <v>39.200000000000003</v>
      </c>
      <c r="F284" s="8">
        <f t="shared" si="12"/>
        <v>4.9719387755102042</v>
      </c>
      <c r="G284">
        <v>0.8</v>
      </c>
      <c r="H284">
        <v>1</v>
      </c>
      <c r="I284">
        <v>41</v>
      </c>
      <c r="J284">
        <v>92.1</v>
      </c>
      <c r="K284" t="str">
        <f>IF(COUNTIFS($A$2:A284, A284, $C$2:C284, C284)&gt;1, "Duplicate", "Unique")</f>
        <v>Unique</v>
      </c>
      <c r="L284" t="str">
        <f t="shared" si="13"/>
        <v>Normal</v>
      </c>
      <c r="M284" t="str">
        <f t="shared" si="14"/>
        <v>Normal</v>
      </c>
      <c r="N284" s="55"/>
    </row>
    <row r="285" spans="1:14" x14ac:dyDescent="0.3">
      <c r="A285" t="s">
        <v>19</v>
      </c>
      <c r="B285" t="s">
        <v>20</v>
      </c>
      <c r="C285" s="2">
        <v>46075</v>
      </c>
      <c r="D285">
        <v>260.8</v>
      </c>
      <c r="E285">
        <v>53.8</v>
      </c>
      <c r="F285" s="8">
        <f t="shared" si="12"/>
        <v>4.8475836431226771</v>
      </c>
      <c r="G285">
        <v>3.2</v>
      </c>
      <c r="H285">
        <v>8</v>
      </c>
      <c r="I285">
        <v>50.2</v>
      </c>
      <c r="J285">
        <v>85.3</v>
      </c>
      <c r="K285" t="str">
        <f>IF(COUNTIFS($A$2:A285, A285, $C$2:C285, C285)&gt;1, "Duplicate", "Unique")</f>
        <v>Unique</v>
      </c>
      <c r="L285" t="str">
        <f t="shared" si="13"/>
        <v>Normal</v>
      </c>
      <c r="M285" t="str">
        <f t="shared" si="14"/>
        <v>Normal</v>
      </c>
      <c r="N285" s="55"/>
    </row>
    <row r="286" spans="1:14" x14ac:dyDescent="0.3">
      <c r="A286" t="s">
        <v>19</v>
      </c>
      <c r="B286" t="s">
        <v>20</v>
      </c>
      <c r="C286" s="2">
        <v>46081</v>
      </c>
      <c r="D286">
        <v>284</v>
      </c>
      <c r="E286">
        <v>74</v>
      </c>
      <c r="F286" s="8">
        <f t="shared" si="12"/>
        <v>3.8378378378378377</v>
      </c>
      <c r="G286">
        <v>4.2</v>
      </c>
      <c r="H286">
        <v>3</v>
      </c>
      <c r="I286">
        <v>68.900000000000006</v>
      </c>
      <c r="J286">
        <v>89.1</v>
      </c>
      <c r="K286" t="str">
        <f>IF(COUNTIFS($A$2:A286, A286, $C$2:C286, C286)&gt;1, "Duplicate", "Unique")</f>
        <v>Unique</v>
      </c>
      <c r="L286" t="str">
        <f t="shared" si="13"/>
        <v>Normal</v>
      </c>
      <c r="M286" t="str">
        <f t="shared" si="14"/>
        <v>Normal</v>
      </c>
      <c r="N286" s="55"/>
    </row>
    <row r="287" spans="1:14" x14ac:dyDescent="0.3">
      <c r="A287" t="s">
        <v>19</v>
      </c>
      <c r="B287" t="s">
        <v>20</v>
      </c>
      <c r="C287" s="2">
        <v>46058</v>
      </c>
      <c r="D287">
        <v>286.5</v>
      </c>
      <c r="E287">
        <v>84.1</v>
      </c>
      <c r="F287" s="8">
        <f t="shared" si="12"/>
        <v>3.4066587395957195</v>
      </c>
      <c r="G287">
        <v>4.4000000000000004</v>
      </c>
      <c r="H287">
        <v>5</v>
      </c>
      <c r="I287">
        <v>64.7</v>
      </c>
      <c r="J287">
        <v>95.6</v>
      </c>
      <c r="K287" t="str">
        <f>IF(COUNTIFS($A$2:A287, A287, $C$2:C287, C287)&gt;1, "Duplicate", "Unique")</f>
        <v>Duplicate</v>
      </c>
      <c r="L287" t="str">
        <f t="shared" si="13"/>
        <v>Normal</v>
      </c>
      <c r="M287" t="str">
        <f t="shared" si="14"/>
        <v>Normal</v>
      </c>
      <c r="N287" s="55"/>
    </row>
    <row r="288" spans="1:14" x14ac:dyDescent="0.3">
      <c r="A288" t="s">
        <v>19</v>
      </c>
      <c r="B288" t="s">
        <v>20</v>
      </c>
      <c r="C288" s="2">
        <v>46023</v>
      </c>
      <c r="D288">
        <v>176.5</v>
      </c>
      <c r="E288">
        <v>51.4</v>
      </c>
      <c r="F288" s="8">
        <f t="shared" si="12"/>
        <v>3.4338521400778212</v>
      </c>
      <c r="G288">
        <v>3.4</v>
      </c>
      <c r="H288">
        <v>6</v>
      </c>
      <c r="I288">
        <v>43.6</v>
      </c>
      <c r="J288">
        <v>95.8</v>
      </c>
      <c r="K288" t="str">
        <f>IF(COUNTIFS($A$2:A288, A288, $C$2:C288, C288)&gt;1, "Duplicate", "Unique")</f>
        <v>Duplicate</v>
      </c>
      <c r="L288" t="str">
        <f t="shared" si="13"/>
        <v>Normal</v>
      </c>
      <c r="M288" t="str">
        <f t="shared" si="14"/>
        <v>Normal</v>
      </c>
      <c r="N288" s="55"/>
    </row>
    <row r="289" spans="1:14" x14ac:dyDescent="0.3">
      <c r="A289" t="s">
        <v>19</v>
      </c>
      <c r="B289" t="s">
        <v>20</v>
      </c>
      <c r="C289" s="2">
        <v>46112</v>
      </c>
      <c r="D289">
        <v>303.60000000000002</v>
      </c>
      <c r="E289">
        <v>90.6</v>
      </c>
      <c r="F289" s="8">
        <f t="shared" si="12"/>
        <v>3.3509933774834444</v>
      </c>
      <c r="G289">
        <v>4.0999999999999996</v>
      </c>
      <c r="H289">
        <v>6</v>
      </c>
      <c r="I289">
        <v>64.900000000000006</v>
      </c>
      <c r="J289">
        <v>90.7</v>
      </c>
      <c r="K289" t="str">
        <f>IF(COUNTIFS($A$2:A289, A289, $C$2:C289, C289)&gt;1, "Duplicate", "Unique")</f>
        <v>Unique</v>
      </c>
      <c r="L289" t="str">
        <f t="shared" si="13"/>
        <v>Normal</v>
      </c>
      <c r="M289" t="str">
        <f t="shared" si="14"/>
        <v>Normal</v>
      </c>
      <c r="N289" s="55"/>
    </row>
    <row r="290" spans="1:14" x14ac:dyDescent="0.3">
      <c r="A290" t="s">
        <v>19</v>
      </c>
      <c r="B290" t="s">
        <v>20</v>
      </c>
      <c r="C290" s="2">
        <v>46086</v>
      </c>
      <c r="D290">
        <v>283.7</v>
      </c>
      <c r="E290">
        <v>53.1</v>
      </c>
      <c r="F290" s="8">
        <f t="shared" si="12"/>
        <v>5.3427495291902067</v>
      </c>
      <c r="G290">
        <v>1.7</v>
      </c>
      <c r="H290">
        <v>8</v>
      </c>
      <c r="I290">
        <v>73.5</v>
      </c>
      <c r="J290">
        <v>94.6</v>
      </c>
      <c r="K290" t="str">
        <f>IF(COUNTIFS($A$2:A290, A290, $C$2:C290, C290)&gt;1, "Duplicate", "Unique")</f>
        <v>Unique</v>
      </c>
      <c r="L290" t="str">
        <f t="shared" si="13"/>
        <v>Normal</v>
      </c>
      <c r="M290" t="str">
        <f t="shared" si="14"/>
        <v>Normal</v>
      </c>
      <c r="N290" s="55"/>
    </row>
    <row r="291" spans="1:14" x14ac:dyDescent="0.3">
      <c r="A291" t="s">
        <v>19</v>
      </c>
      <c r="B291" t="s">
        <v>20</v>
      </c>
      <c r="C291" s="2">
        <v>46031</v>
      </c>
      <c r="D291">
        <v>341.7</v>
      </c>
      <c r="E291">
        <v>121</v>
      </c>
      <c r="F291" s="8">
        <f t="shared" si="12"/>
        <v>2.8239669421487603</v>
      </c>
      <c r="G291">
        <v>2.4</v>
      </c>
      <c r="H291">
        <v>6</v>
      </c>
      <c r="I291">
        <v>32.700000000000003</v>
      </c>
      <c r="J291">
        <v>94.6</v>
      </c>
      <c r="K291" t="str">
        <f>IF(COUNTIFS($A$2:A291, A291, $C$2:C291, C291)&gt;1, "Duplicate", "Unique")</f>
        <v>Unique</v>
      </c>
      <c r="L291" t="str">
        <f t="shared" si="13"/>
        <v>Normal</v>
      </c>
      <c r="M291" t="str">
        <f t="shared" si="14"/>
        <v>Suspiciously Low Efficiency</v>
      </c>
      <c r="N291" s="55"/>
    </row>
    <row r="292" spans="1:14" x14ac:dyDescent="0.3">
      <c r="A292" t="s">
        <v>19</v>
      </c>
      <c r="B292" t="s">
        <v>20</v>
      </c>
      <c r="C292" s="2">
        <v>46109</v>
      </c>
      <c r="D292">
        <v>225.3</v>
      </c>
      <c r="E292">
        <v>70.8</v>
      </c>
      <c r="F292" s="8">
        <f t="shared" si="12"/>
        <v>3.1822033898305087</v>
      </c>
      <c r="G292">
        <v>2.9</v>
      </c>
      <c r="H292">
        <v>7</v>
      </c>
      <c r="I292">
        <v>46.9</v>
      </c>
      <c r="J292">
        <v>86.1</v>
      </c>
      <c r="K292" t="str">
        <f>IF(COUNTIFS($A$2:A292, A292, $C$2:C292, C292)&gt;1, "Duplicate", "Unique")</f>
        <v>Duplicate</v>
      </c>
      <c r="L292" t="str">
        <f t="shared" si="13"/>
        <v>Normal</v>
      </c>
      <c r="M292" t="str">
        <f t="shared" si="14"/>
        <v>Normal</v>
      </c>
      <c r="N292" s="55"/>
    </row>
    <row r="293" spans="1:14" x14ac:dyDescent="0.3">
      <c r="A293" t="s">
        <v>19</v>
      </c>
      <c r="B293" t="s">
        <v>20</v>
      </c>
      <c r="C293" s="2">
        <v>46077</v>
      </c>
      <c r="D293">
        <v>322.5</v>
      </c>
      <c r="E293">
        <v>68.599999999999994</v>
      </c>
      <c r="F293" s="8">
        <f t="shared" si="12"/>
        <v>4.7011661807580181</v>
      </c>
      <c r="G293">
        <v>0.2</v>
      </c>
      <c r="H293">
        <v>8</v>
      </c>
      <c r="I293">
        <v>33.5</v>
      </c>
      <c r="J293">
        <v>93.9</v>
      </c>
      <c r="K293" t="str">
        <f>IF(COUNTIFS($A$2:A293, A293, $C$2:C293, C293)&gt;1, "Duplicate", "Unique")</f>
        <v>Unique</v>
      </c>
      <c r="L293" t="str">
        <f t="shared" si="13"/>
        <v>Normal</v>
      </c>
      <c r="M293" t="str">
        <f t="shared" si="14"/>
        <v>Normal</v>
      </c>
      <c r="N293" s="55"/>
    </row>
    <row r="294" spans="1:14" x14ac:dyDescent="0.3">
      <c r="A294" t="s">
        <v>19</v>
      </c>
      <c r="B294" t="s">
        <v>20</v>
      </c>
      <c r="C294" s="2">
        <v>46086</v>
      </c>
      <c r="D294">
        <v>222.8</v>
      </c>
      <c r="E294">
        <v>64.599999999999994</v>
      </c>
      <c r="F294" s="8">
        <f t="shared" si="12"/>
        <v>3.4489164086687309</v>
      </c>
      <c r="G294">
        <v>2.9</v>
      </c>
      <c r="H294">
        <v>2</v>
      </c>
      <c r="I294">
        <v>53.8</v>
      </c>
      <c r="J294">
        <v>99.7</v>
      </c>
      <c r="K294" t="str">
        <f>IF(COUNTIFS($A$2:A294, A294, $C$2:C294, C294)&gt;1, "Duplicate", "Unique")</f>
        <v>Duplicate</v>
      </c>
      <c r="L294" t="str">
        <f t="shared" si="13"/>
        <v>Normal</v>
      </c>
      <c r="M294" t="str">
        <f t="shared" si="14"/>
        <v>Normal</v>
      </c>
      <c r="N294" s="55"/>
    </row>
    <row r="295" spans="1:14" x14ac:dyDescent="0.3">
      <c r="A295" t="s">
        <v>19</v>
      </c>
      <c r="B295" t="s">
        <v>20</v>
      </c>
      <c r="C295" s="2">
        <v>46030</v>
      </c>
      <c r="D295">
        <v>170.5</v>
      </c>
      <c r="E295">
        <v>32.200000000000003</v>
      </c>
      <c r="F295" s="8">
        <f t="shared" si="12"/>
        <v>5.2950310559006208</v>
      </c>
      <c r="G295">
        <v>0.7</v>
      </c>
      <c r="H295">
        <v>1</v>
      </c>
      <c r="I295">
        <v>43.9</v>
      </c>
      <c r="J295">
        <v>96.1</v>
      </c>
      <c r="K295" t="str">
        <f>IF(COUNTIFS($A$2:A295, A295, $C$2:C295, C295)&gt;1, "Duplicate", "Unique")</f>
        <v>Unique</v>
      </c>
      <c r="L295" t="str">
        <f t="shared" si="13"/>
        <v>Normal</v>
      </c>
      <c r="M295" t="str">
        <f t="shared" si="14"/>
        <v>Normal</v>
      </c>
      <c r="N295" s="55"/>
    </row>
    <row r="296" spans="1:14" x14ac:dyDescent="0.3">
      <c r="A296" t="s">
        <v>19</v>
      </c>
      <c r="B296" t="s">
        <v>20</v>
      </c>
      <c r="C296" s="2">
        <v>46092</v>
      </c>
      <c r="D296">
        <v>208.2</v>
      </c>
      <c r="E296">
        <v>41.1</v>
      </c>
      <c r="F296" s="8">
        <f t="shared" si="12"/>
        <v>5.0656934306569337</v>
      </c>
      <c r="G296">
        <v>4</v>
      </c>
      <c r="H296">
        <v>6</v>
      </c>
      <c r="I296">
        <v>30.1</v>
      </c>
      <c r="J296">
        <v>94.9</v>
      </c>
      <c r="K296" t="str">
        <f>IF(COUNTIFS($A$2:A296, A296, $C$2:C296, C296)&gt;1, "Duplicate", "Unique")</f>
        <v>Unique</v>
      </c>
      <c r="L296" t="str">
        <f t="shared" si="13"/>
        <v>Normal</v>
      </c>
      <c r="M296" t="str">
        <f t="shared" si="14"/>
        <v>Normal</v>
      </c>
      <c r="N296" s="55"/>
    </row>
    <row r="297" spans="1:14" x14ac:dyDescent="0.3">
      <c r="A297" t="s">
        <v>19</v>
      </c>
      <c r="B297" t="s">
        <v>20</v>
      </c>
      <c r="C297" s="2">
        <v>46103</v>
      </c>
      <c r="D297">
        <v>447.8</v>
      </c>
      <c r="E297">
        <v>104.9</v>
      </c>
      <c r="F297" s="8">
        <f t="shared" si="12"/>
        <v>4.2688274547187799</v>
      </c>
      <c r="G297">
        <v>0.3</v>
      </c>
      <c r="H297">
        <v>7</v>
      </c>
      <c r="I297">
        <v>65.2</v>
      </c>
      <c r="J297">
        <v>90.4</v>
      </c>
      <c r="K297" t="str">
        <f>IF(COUNTIFS($A$2:A297, A297, $C$2:C297, C297)&gt;1, "Duplicate", "Unique")</f>
        <v>Unique</v>
      </c>
      <c r="L297" t="str">
        <f t="shared" si="13"/>
        <v>Normal</v>
      </c>
      <c r="M297" t="str">
        <f t="shared" si="14"/>
        <v>Normal</v>
      </c>
      <c r="N297" s="55"/>
    </row>
    <row r="298" spans="1:14" x14ac:dyDescent="0.3">
      <c r="A298" t="s">
        <v>19</v>
      </c>
      <c r="B298" t="s">
        <v>20</v>
      </c>
      <c r="C298" s="2">
        <v>46026</v>
      </c>
      <c r="D298">
        <v>411.4</v>
      </c>
      <c r="E298">
        <v>83.9</v>
      </c>
      <c r="F298" s="8">
        <f t="shared" si="12"/>
        <v>4.9034564958283662</v>
      </c>
      <c r="G298">
        <v>0.5</v>
      </c>
      <c r="H298">
        <v>8</v>
      </c>
      <c r="I298">
        <v>53.8</v>
      </c>
      <c r="J298">
        <v>96.5</v>
      </c>
      <c r="K298" t="str">
        <f>IF(COUNTIFS($A$2:A298, A298, $C$2:C298, C298)&gt;1, "Duplicate", "Unique")</f>
        <v>Unique</v>
      </c>
      <c r="L298" t="str">
        <f t="shared" si="13"/>
        <v>Normal</v>
      </c>
      <c r="M298" t="str">
        <f t="shared" si="14"/>
        <v>Normal</v>
      </c>
      <c r="N298" s="55"/>
    </row>
    <row r="299" spans="1:14" x14ac:dyDescent="0.3">
      <c r="A299" t="s">
        <v>19</v>
      </c>
      <c r="B299" t="s">
        <v>20</v>
      </c>
      <c r="C299" s="2">
        <v>46043</v>
      </c>
      <c r="D299">
        <v>117</v>
      </c>
      <c r="E299">
        <v>25.6</v>
      </c>
      <c r="F299" s="8">
        <f t="shared" si="12"/>
        <v>4.5703125</v>
      </c>
      <c r="G299">
        <v>1.3</v>
      </c>
      <c r="H299">
        <v>1</v>
      </c>
      <c r="I299">
        <v>64.400000000000006</v>
      </c>
      <c r="J299">
        <v>99.2</v>
      </c>
      <c r="K299" t="str">
        <f>IF(COUNTIFS($A$2:A299, A299, $C$2:C299, C299)&gt;1, "Duplicate", "Unique")</f>
        <v>Duplicate</v>
      </c>
      <c r="L299" t="str">
        <f t="shared" si="13"/>
        <v>Normal</v>
      </c>
      <c r="M299" t="str">
        <f t="shared" si="14"/>
        <v>Normal</v>
      </c>
      <c r="N299" s="55"/>
    </row>
    <row r="300" spans="1:14" x14ac:dyDescent="0.3">
      <c r="A300" t="s">
        <v>19</v>
      </c>
      <c r="B300" t="s">
        <v>20</v>
      </c>
      <c r="C300" s="2">
        <v>46111</v>
      </c>
      <c r="D300">
        <v>105.1</v>
      </c>
      <c r="E300">
        <v>30.1</v>
      </c>
      <c r="F300" s="8">
        <f t="shared" si="12"/>
        <v>3.4916943521594681</v>
      </c>
      <c r="G300">
        <v>0.7</v>
      </c>
      <c r="H300">
        <v>1</v>
      </c>
      <c r="I300">
        <v>32.200000000000003</v>
      </c>
      <c r="J300">
        <v>91.6</v>
      </c>
      <c r="K300" t="str">
        <f>IF(COUNTIFS($A$2:A300, A300, $C$2:C300, C300)&gt;1, "Duplicate", "Unique")</f>
        <v>Unique</v>
      </c>
      <c r="L300" t="str">
        <f t="shared" si="13"/>
        <v>Normal</v>
      </c>
      <c r="M300" t="str">
        <f t="shared" si="14"/>
        <v>Normal</v>
      </c>
      <c r="N300" s="55"/>
    </row>
    <row r="301" spans="1:14" x14ac:dyDescent="0.3">
      <c r="A301" t="s">
        <v>19</v>
      </c>
      <c r="B301" t="s">
        <v>20</v>
      </c>
      <c r="C301" s="2">
        <v>46051</v>
      </c>
      <c r="D301">
        <v>336.6</v>
      </c>
      <c r="E301">
        <v>90.2</v>
      </c>
      <c r="F301" s="8">
        <f t="shared" si="12"/>
        <v>3.7317073170731709</v>
      </c>
      <c r="G301">
        <v>0.8</v>
      </c>
      <c r="H301">
        <v>7</v>
      </c>
      <c r="I301">
        <v>52.7</v>
      </c>
      <c r="J301">
        <v>89.6</v>
      </c>
      <c r="K301" t="str">
        <f>IF(COUNTIFS($A$2:A301, A301, $C$2:C301, C301)&gt;1, "Duplicate", "Unique")</f>
        <v>Unique</v>
      </c>
      <c r="L301" t="str">
        <f t="shared" si="13"/>
        <v>Normal</v>
      </c>
      <c r="M301" t="str">
        <f t="shared" si="14"/>
        <v>Normal</v>
      </c>
      <c r="N301" s="55"/>
    </row>
    <row r="302" spans="1:14" x14ac:dyDescent="0.3">
      <c r="A302" t="s">
        <v>19</v>
      </c>
      <c r="B302" t="s">
        <v>20</v>
      </c>
      <c r="C302" s="2">
        <v>46023</v>
      </c>
      <c r="D302">
        <v>84.7</v>
      </c>
      <c r="E302">
        <v>27.9</v>
      </c>
      <c r="F302" s="8">
        <f t="shared" si="12"/>
        <v>3.0358422939068102</v>
      </c>
      <c r="H302">
        <v>8</v>
      </c>
      <c r="I302">
        <v>36.700000000000003</v>
      </c>
      <c r="J302">
        <v>86.4</v>
      </c>
      <c r="K302" t="str">
        <f>IF(COUNTIFS($A$2:A302, A302, $C$2:C302, C302)&gt;1, "Duplicate", "Unique")</f>
        <v>Duplicate</v>
      </c>
      <c r="L302" t="str">
        <f t="shared" si="13"/>
        <v>Normal</v>
      </c>
      <c r="M302" t="str">
        <f t="shared" si="14"/>
        <v>Normal</v>
      </c>
      <c r="N302" s="55"/>
    </row>
    <row r="303" spans="1:14" x14ac:dyDescent="0.3">
      <c r="A303" t="s">
        <v>19</v>
      </c>
      <c r="B303" t="s">
        <v>20</v>
      </c>
      <c r="C303" s="2">
        <v>46058</v>
      </c>
      <c r="D303">
        <v>227.2</v>
      </c>
      <c r="E303">
        <v>61</v>
      </c>
      <c r="F303" s="8">
        <f t="shared" si="12"/>
        <v>3.7245901639344261</v>
      </c>
      <c r="G303">
        <v>1.5</v>
      </c>
      <c r="H303">
        <v>3</v>
      </c>
      <c r="I303">
        <v>36.200000000000003</v>
      </c>
      <c r="J303">
        <v>94</v>
      </c>
      <c r="K303" t="str">
        <f>IF(COUNTIFS($A$2:A303, A303, $C$2:C303, C303)&gt;1, "Duplicate", "Unique")</f>
        <v>Duplicate</v>
      </c>
      <c r="L303" t="str">
        <f t="shared" si="13"/>
        <v>Normal</v>
      </c>
      <c r="M303" t="str">
        <f t="shared" si="14"/>
        <v>Normal</v>
      </c>
      <c r="N303" s="55"/>
    </row>
    <row r="304" spans="1:14" x14ac:dyDescent="0.3">
      <c r="A304" t="s">
        <v>19</v>
      </c>
      <c r="B304" t="s">
        <v>20</v>
      </c>
      <c r="C304" s="2">
        <v>46046</v>
      </c>
      <c r="D304">
        <v>272.60000000000002</v>
      </c>
      <c r="E304">
        <v>55.4</v>
      </c>
      <c r="F304" s="8">
        <f t="shared" si="12"/>
        <v>4.9205776173285205</v>
      </c>
      <c r="G304">
        <v>0.9</v>
      </c>
      <c r="H304">
        <v>7</v>
      </c>
      <c r="I304">
        <v>34.1</v>
      </c>
      <c r="J304">
        <v>88.3</v>
      </c>
      <c r="K304" t="str">
        <f>IF(COUNTIFS($A$2:A304, A304, $C$2:C304, C304)&gt;1, "Duplicate", "Unique")</f>
        <v>Unique</v>
      </c>
      <c r="L304" t="str">
        <f t="shared" si="13"/>
        <v>Normal</v>
      </c>
      <c r="M304" t="str">
        <f t="shared" si="14"/>
        <v>Normal</v>
      </c>
      <c r="N304" s="55"/>
    </row>
    <row r="305" spans="1:14" x14ac:dyDescent="0.3">
      <c r="A305" t="s">
        <v>19</v>
      </c>
      <c r="B305" t="s">
        <v>20</v>
      </c>
      <c r="C305" s="2">
        <v>46089</v>
      </c>
      <c r="D305">
        <v>230.2</v>
      </c>
      <c r="E305">
        <v>46</v>
      </c>
      <c r="F305" s="8">
        <f t="shared" si="12"/>
        <v>5.0043478260869563</v>
      </c>
      <c r="G305">
        <v>1.7</v>
      </c>
      <c r="H305">
        <v>8</v>
      </c>
      <c r="I305">
        <v>69.900000000000006</v>
      </c>
      <c r="J305">
        <v>85.1</v>
      </c>
      <c r="K305" t="str">
        <f>IF(COUNTIFS($A$2:A305, A305, $C$2:C305, C305)&gt;1, "Duplicate", "Unique")</f>
        <v>Unique</v>
      </c>
      <c r="L305" t="str">
        <f t="shared" si="13"/>
        <v>Normal</v>
      </c>
      <c r="M305" t="str">
        <f t="shared" si="14"/>
        <v>Normal</v>
      </c>
      <c r="N305" s="55"/>
    </row>
    <row r="306" spans="1:14" x14ac:dyDescent="0.3">
      <c r="A306" t="s">
        <v>19</v>
      </c>
      <c r="B306" t="s">
        <v>20</v>
      </c>
      <c r="C306" s="2">
        <v>46100</v>
      </c>
      <c r="D306">
        <v>436.3</v>
      </c>
      <c r="E306">
        <v>108.3</v>
      </c>
      <c r="F306" s="8">
        <f t="shared" si="12"/>
        <v>4.0286241920590955</v>
      </c>
      <c r="G306">
        <v>1.9</v>
      </c>
      <c r="H306">
        <v>1</v>
      </c>
      <c r="I306">
        <v>41.7</v>
      </c>
      <c r="J306">
        <v>91.1</v>
      </c>
      <c r="K306" t="str">
        <f>IF(COUNTIFS($A$2:A306, A306, $C$2:C306, C306)&gt;1, "Duplicate", "Unique")</f>
        <v>Unique</v>
      </c>
      <c r="L306" t="str">
        <f t="shared" si="13"/>
        <v>Normal</v>
      </c>
      <c r="M306" t="str">
        <f t="shared" si="14"/>
        <v>Normal</v>
      </c>
      <c r="N306" s="55"/>
    </row>
    <row r="307" spans="1:14" x14ac:dyDescent="0.3">
      <c r="A307" t="s">
        <v>19</v>
      </c>
      <c r="B307" t="s">
        <v>20</v>
      </c>
      <c r="C307" s="2">
        <v>46109</v>
      </c>
      <c r="D307">
        <v>339.4</v>
      </c>
      <c r="E307">
        <v>68.400000000000006</v>
      </c>
      <c r="F307" s="8">
        <f t="shared" si="12"/>
        <v>4.9619883040935662</v>
      </c>
      <c r="G307">
        <v>2</v>
      </c>
      <c r="H307">
        <v>6</v>
      </c>
      <c r="I307">
        <v>53.2</v>
      </c>
      <c r="J307">
        <v>85.1</v>
      </c>
      <c r="K307" t="str">
        <f>IF(COUNTIFS($A$2:A307, A307, $C$2:C307, C307)&gt;1, "Duplicate", "Unique")</f>
        <v>Duplicate</v>
      </c>
      <c r="L307" t="str">
        <f t="shared" si="13"/>
        <v>Normal</v>
      </c>
      <c r="M307" t="str">
        <f t="shared" si="14"/>
        <v>Normal</v>
      </c>
      <c r="N307" s="55"/>
    </row>
    <row r="308" spans="1:14" x14ac:dyDescent="0.3">
      <c r="A308" t="s">
        <v>19</v>
      </c>
      <c r="B308" t="s">
        <v>20</v>
      </c>
      <c r="C308" s="2">
        <v>46056</v>
      </c>
      <c r="D308">
        <v>156.5</v>
      </c>
      <c r="E308">
        <v>46.8</v>
      </c>
      <c r="F308" s="8">
        <f t="shared" si="12"/>
        <v>3.3440170940170941</v>
      </c>
      <c r="G308">
        <v>1.3</v>
      </c>
      <c r="H308">
        <v>6</v>
      </c>
      <c r="I308">
        <v>37</v>
      </c>
      <c r="J308">
        <v>86.6</v>
      </c>
      <c r="K308" t="str">
        <f>IF(COUNTIFS($A$2:A308, A308, $C$2:C308, C308)&gt;1, "Duplicate", "Unique")</f>
        <v>Unique</v>
      </c>
      <c r="L308" t="str">
        <f t="shared" si="13"/>
        <v>Normal</v>
      </c>
      <c r="M308" t="str">
        <f t="shared" si="14"/>
        <v>Normal</v>
      </c>
      <c r="N308" s="55"/>
    </row>
    <row r="309" spans="1:14" x14ac:dyDescent="0.3">
      <c r="A309" t="s">
        <v>19</v>
      </c>
      <c r="B309" t="s">
        <v>20</v>
      </c>
      <c r="C309" s="2">
        <v>46089</v>
      </c>
      <c r="D309">
        <v>362.9</v>
      </c>
      <c r="E309">
        <v>69</v>
      </c>
      <c r="F309" s="8">
        <f t="shared" si="12"/>
        <v>5.2594202898550719</v>
      </c>
      <c r="G309">
        <v>3.7</v>
      </c>
      <c r="H309">
        <v>5</v>
      </c>
      <c r="I309">
        <v>42.8</v>
      </c>
      <c r="J309">
        <v>96.1</v>
      </c>
      <c r="K309" t="str">
        <f>IF(COUNTIFS($A$2:A309, A309, $C$2:C309, C309)&gt;1, "Duplicate", "Unique")</f>
        <v>Duplicate</v>
      </c>
      <c r="L309" t="str">
        <f t="shared" si="13"/>
        <v>Normal</v>
      </c>
      <c r="M309" t="str">
        <f t="shared" si="14"/>
        <v>Normal</v>
      </c>
      <c r="N309" s="55"/>
    </row>
    <row r="310" spans="1:14" x14ac:dyDescent="0.3">
      <c r="A310" t="s">
        <v>19</v>
      </c>
      <c r="B310" t="s">
        <v>20</v>
      </c>
      <c r="C310" s="2">
        <v>46027</v>
      </c>
      <c r="D310">
        <v>153.69999999999999</v>
      </c>
      <c r="E310">
        <v>32.1</v>
      </c>
      <c r="F310" s="8">
        <f t="shared" si="12"/>
        <v>4.7881619937694699</v>
      </c>
      <c r="G310">
        <v>0.6</v>
      </c>
      <c r="H310">
        <v>4</v>
      </c>
      <c r="I310">
        <v>51.3</v>
      </c>
      <c r="J310">
        <v>95.2</v>
      </c>
      <c r="K310" t="str">
        <f>IF(COUNTIFS($A$2:A310, A310, $C$2:C310, C310)&gt;1, "Duplicate", "Unique")</f>
        <v>Unique</v>
      </c>
      <c r="L310" t="str">
        <f t="shared" si="13"/>
        <v>Normal</v>
      </c>
      <c r="M310" t="str">
        <f t="shared" si="14"/>
        <v>Normal</v>
      </c>
      <c r="N310" s="55"/>
    </row>
    <row r="311" spans="1:14" x14ac:dyDescent="0.3">
      <c r="A311" t="s">
        <v>19</v>
      </c>
      <c r="B311" t="s">
        <v>20</v>
      </c>
      <c r="C311" s="2">
        <v>46052</v>
      </c>
      <c r="D311">
        <v>174.8</v>
      </c>
      <c r="E311">
        <v>48.4</v>
      </c>
      <c r="F311" s="8">
        <f t="shared" si="12"/>
        <v>3.6115702479338845</v>
      </c>
      <c r="G311">
        <v>2.7</v>
      </c>
      <c r="H311">
        <v>4</v>
      </c>
      <c r="I311">
        <v>63</v>
      </c>
      <c r="J311">
        <v>95.9</v>
      </c>
      <c r="K311" t="str">
        <f>IF(COUNTIFS($A$2:A311, A311, $C$2:C311, C311)&gt;1, "Duplicate", "Unique")</f>
        <v>Unique</v>
      </c>
      <c r="L311" t="str">
        <f t="shared" si="13"/>
        <v>Normal</v>
      </c>
      <c r="M311" t="str">
        <f t="shared" si="14"/>
        <v>Normal</v>
      </c>
      <c r="N311" s="55"/>
    </row>
    <row r="312" spans="1:14" x14ac:dyDescent="0.3">
      <c r="A312" t="s">
        <v>19</v>
      </c>
      <c r="B312" t="s">
        <v>20</v>
      </c>
      <c r="C312" s="2">
        <v>46048</v>
      </c>
      <c r="D312">
        <v>333.6</v>
      </c>
      <c r="E312">
        <v>103.6</v>
      </c>
      <c r="F312" s="8">
        <f t="shared" si="12"/>
        <v>3.2200772200772203</v>
      </c>
      <c r="G312">
        <v>3.3</v>
      </c>
      <c r="H312">
        <v>2</v>
      </c>
      <c r="I312">
        <v>35.1</v>
      </c>
      <c r="J312">
        <v>85.8</v>
      </c>
      <c r="K312" t="str">
        <f>IF(COUNTIFS($A$2:A312, A312, $C$2:C312, C312)&gt;1, "Duplicate", "Unique")</f>
        <v>Unique</v>
      </c>
      <c r="L312" t="str">
        <f t="shared" si="13"/>
        <v>Normal</v>
      </c>
      <c r="M312" t="str">
        <f t="shared" si="14"/>
        <v>Normal</v>
      </c>
      <c r="N312" s="55"/>
    </row>
    <row r="313" spans="1:14" x14ac:dyDescent="0.3">
      <c r="A313" t="s">
        <v>19</v>
      </c>
      <c r="B313" t="s">
        <v>20</v>
      </c>
      <c r="C313" s="2">
        <v>46045</v>
      </c>
      <c r="D313">
        <v>325.2</v>
      </c>
      <c r="E313">
        <v>108</v>
      </c>
      <c r="F313" s="8">
        <f t="shared" si="12"/>
        <v>3.0111111111111111</v>
      </c>
      <c r="G313">
        <v>4.2</v>
      </c>
      <c r="H313">
        <v>8</v>
      </c>
      <c r="I313">
        <v>35.1</v>
      </c>
      <c r="J313">
        <v>93.9</v>
      </c>
      <c r="K313" t="str">
        <f>IF(COUNTIFS($A$2:A313, A313, $C$2:C313, C313)&gt;1, "Duplicate", "Unique")</f>
        <v>Unique</v>
      </c>
      <c r="L313" t="str">
        <f t="shared" si="13"/>
        <v>Normal</v>
      </c>
      <c r="M313" t="str">
        <f t="shared" si="14"/>
        <v>Normal</v>
      </c>
      <c r="N313" s="55"/>
    </row>
    <row r="314" spans="1:14" x14ac:dyDescent="0.3">
      <c r="A314" t="s">
        <v>19</v>
      </c>
      <c r="B314" t="s">
        <v>20</v>
      </c>
      <c r="C314" s="2">
        <v>46078</v>
      </c>
      <c r="D314">
        <v>339.8</v>
      </c>
      <c r="E314">
        <v>87.9</v>
      </c>
      <c r="F314" s="8">
        <f t="shared" si="12"/>
        <v>3.8657565415244597</v>
      </c>
      <c r="G314">
        <v>1.6</v>
      </c>
      <c r="H314">
        <v>7</v>
      </c>
      <c r="I314">
        <v>48.3</v>
      </c>
      <c r="J314">
        <v>91.5</v>
      </c>
      <c r="K314" t="str">
        <f>IF(COUNTIFS($A$2:A314, A314, $C$2:C314, C314)&gt;1, "Duplicate", "Unique")</f>
        <v>Unique</v>
      </c>
      <c r="L314" t="str">
        <f t="shared" si="13"/>
        <v>Normal</v>
      </c>
      <c r="M314" t="str">
        <f t="shared" si="14"/>
        <v>Normal</v>
      </c>
      <c r="N314" s="55"/>
    </row>
    <row r="315" spans="1:14" x14ac:dyDescent="0.3">
      <c r="A315" t="s">
        <v>19</v>
      </c>
      <c r="B315" t="s">
        <v>20</v>
      </c>
      <c r="C315" s="2">
        <v>46087</v>
      </c>
      <c r="D315">
        <v>179.6</v>
      </c>
      <c r="E315">
        <v>33.9</v>
      </c>
      <c r="F315" s="8">
        <f t="shared" si="12"/>
        <v>5.2979351032448374</v>
      </c>
      <c r="G315">
        <v>2.7</v>
      </c>
      <c r="H315">
        <v>1</v>
      </c>
      <c r="I315">
        <v>74</v>
      </c>
      <c r="J315">
        <v>93.5</v>
      </c>
      <c r="K315" t="str">
        <f>IF(COUNTIFS($A$2:A315, A315, $C$2:C315, C315)&gt;1, "Duplicate", "Unique")</f>
        <v>Unique</v>
      </c>
      <c r="L315" t="str">
        <f t="shared" si="13"/>
        <v>Normal</v>
      </c>
      <c r="M315" t="str">
        <f t="shared" si="14"/>
        <v>Normal</v>
      </c>
      <c r="N315" s="55"/>
    </row>
    <row r="316" spans="1:14" x14ac:dyDescent="0.3">
      <c r="A316" t="s">
        <v>19</v>
      </c>
      <c r="B316" t="s">
        <v>20</v>
      </c>
      <c r="C316" s="2">
        <v>46032</v>
      </c>
      <c r="D316">
        <v>254.3</v>
      </c>
      <c r="E316">
        <v>61.9</v>
      </c>
      <c r="F316" s="8">
        <f t="shared" si="12"/>
        <v>4.1082390953150245</v>
      </c>
      <c r="G316">
        <v>4</v>
      </c>
      <c r="H316">
        <v>3</v>
      </c>
      <c r="I316">
        <v>39.700000000000003</v>
      </c>
      <c r="J316">
        <v>94.1</v>
      </c>
      <c r="K316" t="str">
        <f>IF(COUNTIFS($A$2:A316, A316, $C$2:C316, C316)&gt;1, "Duplicate", "Unique")</f>
        <v>Unique</v>
      </c>
      <c r="L316" t="str">
        <f t="shared" si="13"/>
        <v>Normal</v>
      </c>
      <c r="M316" t="str">
        <f t="shared" si="14"/>
        <v>Normal</v>
      </c>
      <c r="N316" s="55"/>
    </row>
    <row r="317" spans="1:14" x14ac:dyDescent="0.3">
      <c r="A317" t="s">
        <v>19</v>
      </c>
      <c r="B317" t="s">
        <v>20</v>
      </c>
      <c r="C317" s="2">
        <v>46034</v>
      </c>
      <c r="D317">
        <v>232.3</v>
      </c>
      <c r="E317">
        <v>55.2</v>
      </c>
      <c r="F317" s="8">
        <f t="shared" si="12"/>
        <v>4.208333333333333</v>
      </c>
      <c r="G317">
        <v>3.9</v>
      </c>
      <c r="H317">
        <v>4</v>
      </c>
      <c r="I317">
        <v>56.6</v>
      </c>
      <c r="J317">
        <v>97.6</v>
      </c>
      <c r="K317" t="str">
        <f>IF(COUNTIFS($A$2:A317, A317, $C$2:C317, C317)&gt;1, "Duplicate", "Unique")</f>
        <v>Unique</v>
      </c>
      <c r="L317" t="str">
        <f t="shared" si="13"/>
        <v>Normal</v>
      </c>
      <c r="M317" t="str">
        <f t="shared" si="14"/>
        <v>Normal</v>
      </c>
      <c r="N317" s="55"/>
    </row>
    <row r="318" spans="1:14" x14ac:dyDescent="0.3">
      <c r="A318" t="s">
        <v>19</v>
      </c>
      <c r="B318" t="s">
        <v>20</v>
      </c>
      <c r="C318" s="2">
        <v>46026</v>
      </c>
      <c r="D318">
        <v>372.8</v>
      </c>
      <c r="E318">
        <v>115.9</v>
      </c>
      <c r="F318" s="8">
        <f t="shared" si="12"/>
        <v>3.2165660051768765</v>
      </c>
      <c r="G318">
        <v>1.5</v>
      </c>
      <c r="H318">
        <v>8</v>
      </c>
      <c r="I318">
        <v>35.6</v>
      </c>
      <c r="J318">
        <v>95</v>
      </c>
      <c r="K318" t="str">
        <f>IF(COUNTIFS($A$2:A318, A318, $C$2:C318, C318)&gt;1, "Duplicate", "Unique")</f>
        <v>Duplicate</v>
      </c>
      <c r="L318" t="str">
        <f t="shared" si="13"/>
        <v>Normal</v>
      </c>
      <c r="M318" t="str">
        <f t="shared" si="14"/>
        <v>Normal</v>
      </c>
      <c r="N318" s="55"/>
    </row>
    <row r="319" spans="1:14" x14ac:dyDescent="0.3">
      <c r="A319" t="s">
        <v>47</v>
      </c>
      <c r="B319" t="s">
        <v>48</v>
      </c>
      <c r="C319" s="2">
        <v>46054</v>
      </c>
      <c r="D319">
        <v>390.7</v>
      </c>
      <c r="E319">
        <v>110.1</v>
      </c>
      <c r="F319" s="8">
        <f t="shared" si="12"/>
        <v>3.5485921889191645</v>
      </c>
      <c r="G319">
        <v>3.5</v>
      </c>
      <c r="H319">
        <v>8</v>
      </c>
      <c r="I319">
        <v>58.2</v>
      </c>
      <c r="J319">
        <v>89.1</v>
      </c>
      <c r="K319" t="str">
        <f>IF(COUNTIFS($A$2:A319, A319, $C$2:C319, C319)&gt;1, "Duplicate", "Unique")</f>
        <v>Unique</v>
      </c>
      <c r="L319" t="str">
        <f t="shared" si="13"/>
        <v>Normal</v>
      </c>
      <c r="M319" t="str">
        <f t="shared" si="14"/>
        <v>Normal</v>
      </c>
      <c r="N319" s="55"/>
    </row>
    <row r="320" spans="1:14" x14ac:dyDescent="0.3">
      <c r="A320" t="s">
        <v>47</v>
      </c>
      <c r="B320" t="s">
        <v>48</v>
      </c>
      <c r="C320" s="2">
        <v>46076</v>
      </c>
      <c r="D320">
        <v>173.3</v>
      </c>
      <c r="E320">
        <v>57.4</v>
      </c>
      <c r="F320" s="8">
        <f t="shared" si="12"/>
        <v>3.0191637630662025</v>
      </c>
      <c r="G320">
        <v>0.3</v>
      </c>
      <c r="H320">
        <v>1</v>
      </c>
      <c r="I320">
        <v>75</v>
      </c>
      <c r="J320">
        <v>90.2</v>
      </c>
      <c r="K320" t="str">
        <f>IF(COUNTIFS($A$2:A320, A320, $C$2:C320, C320)&gt;1, "Duplicate", "Unique")</f>
        <v>Unique</v>
      </c>
      <c r="L320" t="str">
        <f t="shared" si="13"/>
        <v>Normal</v>
      </c>
      <c r="M320" t="str">
        <f t="shared" si="14"/>
        <v>Normal</v>
      </c>
      <c r="N320" s="55"/>
    </row>
    <row r="321" spans="1:14" x14ac:dyDescent="0.3">
      <c r="A321" t="s">
        <v>47</v>
      </c>
      <c r="B321" t="s">
        <v>48</v>
      </c>
      <c r="C321" s="2">
        <v>46066</v>
      </c>
      <c r="D321">
        <v>183.5</v>
      </c>
      <c r="E321">
        <v>41.6</v>
      </c>
      <c r="F321" s="8">
        <f t="shared" si="12"/>
        <v>4.4110576923076925</v>
      </c>
      <c r="G321">
        <v>4</v>
      </c>
      <c r="H321">
        <v>1</v>
      </c>
      <c r="I321">
        <v>53.2</v>
      </c>
      <c r="J321">
        <v>87.9</v>
      </c>
      <c r="K321" t="str">
        <f>IF(COUNTIFS($A$2:A321, A321, $C$2:C321, C321)&gt;1, "Duplicate", "Unique")</f>
        <v>Unique</v>
      </c>
      <c r="L321" t="str">
        <f t="shared" si="13"/>
        <v>Normal</v>
      </c>
      <c r="M321" t="str">
        <f t="shared" si="14"/>
        <v>Normal</v>
      </c>
      <c r="N321" s="55"/>
    </row>
    <row r="322" spans="1:14" x14ac:dyDescent="0.3">
      <c r="A322" t="s">
        <v>47</v>
      </c>
      <c r="B322" t="s">
        <v>48</v>
      </c>
      <c r="C322" s="2">
        <v>46084</v>
      </c>
      <c r="D322">
        <v>122.2</v>
      </c>
      <c r="E322">
        <v>41.1</v>
      </c>
      <c r="F322" s="8">
        <f t="shared" si="12"/>
        <v>2.9732360097323602</v>
      </c>
      <c r="G322">
        <v>2.2999999999999998</v>
      </c>
      <c r="H322">
        <v>1</v>
      </c>
      <c r="I322">
        <v>36.799999999999997</v>
      </c>
      <c r="J322">
        <v>97.2</v>
      </c>
      <c r="K322" t="str">
        <f>IF(COUNTIFS($A$2:A322, A322, $C$2:C322, C322)&gt;1, "Duplicate", "Unique")</f>
        <v>Unique</v>
      </c>
      <c r="L322" t="str">
        <f t="shared" si="13"/>
        <v>Normal</v>
      </c>
      <c r="M322" t="str">
        <f t="shared" si="14"/>
        <v>Suspiciously Low Efficiency</v>
      </c>
      <c r="N322" s="55"/>
    </row>
    <row r="323" spans="1:14" x14ac:dyDescent="0.3">
      <c r="A323" t="s">
        <v>47</v>
      </c>
      <c r="B323" t="s">
        <v>48</v>
      </c>
      <c r="C323" s="2">
        <v>46108</v>
      </c>
      <c r="D323">
        <v>83.5</v>
      </c>
      <c r="E323">
        <v>16.8</v>
      </c>
      <c r="F323" s="8">
        <f t="shared" ref="F323:F386" si="15">IFERROR(D323/E323,0)</f>
        <v>4.9702380952380949</v>
      </c>
      <c r="G323">
        <v>4.0999999999999996</v>
      </c>
      <c r="H323">
        <v>3</v>
      </c>
      <c r="I323">
        <v>33.299999999999997</v>
      </c>
      <c r="J323">
        <v>99.2</v>
      </c>
      <c r="K323" t="str">
        <f>IF(COUNTIFS($A$2:A323, A323, $C$2:C323, C323)&gt;1, "Duplicate", "Unique")</f>
        <v>Unique</v>
      </c>
      <c r="L323" t="str">
        <f t="shared" ref="L323:L386" si="16">IF(G323 &gt; (AVERAGE($G$2:$G$811) + (3 * _xlfn.STDEV.P($G$2:$G$811))), "Extreme Idle Outlier", "Normal")</f>
        <v>Normal</v>
      </c>
      <c r="M323" t="str">
        <f t="shared" ref="M323:M386" si="17">IFERROR(IF((D323 / E323) &lt; 3, "Suspiciously Low Efficiency", "Normal"),0)</f>
        <v>Normal</v>
      </c>
      <c r="N323" s="55"/>
    </row>
    <row r="324" spans="1:14" x14ac:dyDescent="0.3">
      <c r="A324" t="s">
        <v>47</v>
      </c>
      <c r="B324" t="s">
        <v>48</v>
      </c>
      <c r="C324" s="2">
        <v>46097</v>
      </c>
      <c r="D324">
        <v>221</v>
      </c>
      <c r="E324">
        <v>48.8</v>
      </c>
      <c r="F324" s="8">
        <f t="shared" si="15"/>
        <v>4.528688524590164</v>
      </c>
      <c r="G324">
        <v>1.8</v>
      </c>
      <c r="H324">
        <v>4</v>
      </c>
      <c r="I324">
        <v>51.2</v>
      </c>
      <c r="J324">
        <v>94.3</v>
      </c>
      <c r="K324" t="str">
        <f>IF(COUNTIFS($A$2:A324, A324, $C$2:C324, C324)&gt;1, "Duplicate", "Unique")</f>
        <v>Unique</v>
      </c>
      <c r="L324" t="str">
        <f t="shared" si="16"/>
        <v>Normal</v>
      </c>
      <c r="M324" t="str">
        <f t="shared" si="17"/>
        <v>Normal</v>
      </c>
      <c r="N324" s="55"/>
    </row>
    <row r="325" spans="1:14" x14ac:dyDescent="0.3">
      <c r="A325" t="s">
        <v>47</v>
      </c>
      <c r="B325" t="s">
        <v>48</v>
      </c>
      <c r="C325" s="2">
        <v>46041</v>
      </c>
      <c r="D325">
        <v>445.4</v>
      </c>
      <c r="E325">
        <v>104.6</v>
      </c>
      <c r="F325" s="8">
        <f t="shared" si="15"/>
        <v>4.2581261950286811</v>
      </c>
      <c r="G325">
        <v>3.6</v>
      </c>
      <c r="H325">
        <v>2</v>
      </c>
      <c r="I325">
        <v>59.7</v>
      </c>
      <c r="J325">
        <v>85.4</v>
      </c>
      <c r="K325" t="str">
        <f>IF(COUNTIFS($A$2:A325, A325, $C$2:C325, C325)&gt;1, "Duplicate", "Unique")</f>
        <v>Unique</v>
      </c>
      <c r="L325" t="str">
        <f t="shared" si="16"/>
        <v>Normal</v>
      </c>
      <c r="M325" t="str">
        <f t="shared" si="17"/>
        <v>Normal</v>
      </c>
      <c r="N325" s="55"/>
    </row>
    <row r="326" spans="1:14" x14ac:dyDescent="0.3">
      <c r="A326" t="s">
        <v>47</v>
      </c>
      <c r="B326" t="s">
        <v>48</v>
      </c>
      <c r="C326" s="2">
        <v>46080</v>
      </c>
      <c r="D326">
        <v>415</v>
      </c>
      <c r="E326">
        <v>129.80000000000001</v>
      </c>
      <c r="F326" s="8">
        <f t="shared" si="15"/>
        <v>3.1972265023112478</v>
      </c>
      <c r="G326">
        <v>2.1</v>
      </c>
      <c r="H326">
        <v>4</v>
      </c>
      <c r="I326">
        <v>66.8</v>
      </c>
      <c r="J326">
        <v>98.3</v>
      </c>
      <c r="K326" t="str">
        <f>IF(COUNTIFS($A$2:A326, A326, $C$2:C326, C326)&gt;1, "Duplicate", "Unique")</f>
        <v>Unique</v>
      </c>
      <c r="L326" t="str">
        <f t="shared" si="16"/>
        <v>Normal</v>
      </c>
      <c r="M326" t="str">
        <f t="shared" si="17"/>
        <v>Normal</v>
      </c>
      <c r="N326" s="55"/>
    </row>
    <row r="327" spans="1:14" x14ac:dyDescent="0.3">
      <c r="A327" t="s">
        <v>47</v>
      </c>
      <c r="B327" t="s">
        <v>48</v>
      </c>
      <c r="C327" s="2">
        <v>46047</v>
      </c>
      <c r="D327">
        <v>426.8</v>
      </c>
      <c r="E327">
        <v>89.7</v>
      </c>
      <c r="F327" s="8">
        <f t="shared" si="15"/>
        <v>4.7580824972129321</v>
      </c>
      <c r="G327">
        <v>0.7</v>
      </c>
      <c r="H327">
        <v>7</v>
      </c>
      <c r="I327">
        <v>57.7</v>
      </c>
      <c r="J327">
        <v>99</v>
      </c>
      <c r="K327" t="str">
        <f>IF(COUNTIFS($A$2:A327, A327, $C$2:C327, C327)&gt;1, "Duplicate", "Unique")</f>
        <v>Unique</v>
      </c>
      <c r="L327" t="str">
        <f t="shared" si="16"/>
        <v>Normal</v>
      </c>
      <c r="M327" t="str">
        <f t="shared" si="17"/>
        <v>Normal</v>
      </c>
      <c r="N327" s="55"/>
    </row>
    <row r="328" spans="1:14" x14ac:dyDescent="0.3">
      <c r="A328" t="s">
        <v>47</v>
      </c>
      <c r="B328" t="s">
        <v>48</v>
      </c>
      <c r="C328" s="2">
        <v>46091</v>
      </c>
      <c r="D328">
        <v>441.7</v>
      </c>
      <c r="E328">
        <v>155.19999999999999</v>
      </c>
      <c r="F328" s="8">
        <f t="shared" si="15"/>
        <v>2.8460051546391756</v>
      </c>
      <c r="G328">
        <v>3.7</v>
      </c>
      <c r="H328">
        <v>7</v>
      </c>
      <c r="I328">
        <v>66.3</v>
      </c>
      <c r="J328">
        <v>98.6</v>
      </c>
      <c r="K328" t="str">
        <f>IF(COUNTIFS($A$2:A328, A328, $C$2:C328, C328)&gt;1, "Duplicate", "Unique")</f>
        <v>Unique</v>
      </c>
      <c r="L328" t="str">
        <f t="shared" si="16"/>
        <v>Normal</v>
      </c>
      <c r="M328" t="str">
        <f t="shared" si="17"/>
        <v>Suspiciously Low Efficiency</v>
      </c>
      <c r="N328" s="55"/>
    </row>
    <row r="329" spans="1:14" x14ac:dyDescent="0.3">
      <c r="A329" t="s">
        <v>47</v>
      </c>
      <c r="B329" t="s">
        <v>48</v>
      </c>
      <c r="C329" s="2">
        <v>46092</v>
      </c>
      <c r="D329">
        <v>288.5</v>
      </c>
      <c r="E329">
        <v>99.9</v>
      </c>
      <c r="F329" s="8">
        <f t="shared" si="15"/>
        <v>2.8878878878878878</v>
      </c>
      <c r="G329">
        <v>4.2</v>
      </c>
      <c r="H329">
        <v>6</v>
      </c>
      <c r="I329">
        <v>30.7</v>
      </c>
      <c r="J329">
        <v>88.1</v>
      </c>
      <c r="K329" t="str">
        <f>IF(COUNTIFS($A$2:A329, A329, $C$2:C329, C329)&gt;1, "Duplicate", "Unique")</f>
        <v>Unique</v>
      </c>
      <c r="L329" t="str">
        <f t="shared" si="16"/>
        <v>Normal</v>
      </c>
      <c r="M329" t="str">
        <f t="shared" si="17"/>
        <v>Suspiciously Low Efficiency</v>
      </c>
      <c r="N329" s="55"/>
    </row>
    <row r="330" spans="1:14" x14ac:dyDescent="0.3">
      <c r="A330" t="s">
        <v>47</v>
      </c>
      <c r="B330" t="s">
        <v>48</v>
      </c>
      <c r="C330" s="2">
        <v>46061</v>
      </c>
      <c r="D330">
        <v>179.3</v>
      </c>
      <c r="E330">
        <v>56.1</v>
      </c>
      <c r="F330" s="8">
        <f t="shared" si="15"/>
        <v>3.1960784313725492</v>
      </c>
      <c r="G330">
        <v>0.9</v>
      </c>
      <c r="H330">
        <v>5</v>
      </c>
      <c r="I330">
        <v>48.9</v>
      </c>
      <c r="J330">
        <v>92.3</v>
      </c>
      <c r="K330" t="str">
        <f>IF(COUNTIFS($A$2:A330, A330, $C$2:C330, C330)&gt;1, "Duplicate", "Unique")</f>
        <v>Unique</v>
      </c>
      <c r="L330" t="str">
        <f t="shared" si="16"/>
        <v>Normal</v>
      </c>
      <c r="M330" t="str">
        <f t="shared" si="17"/>
        <v>Normal</v>
      </c>
      <c r="N330" s="55"/>
    </row>
    <row r="331" spans="1:14" x14ac:dyDescent="0.3">
      <c r="A331" t="s">
        <v>47</v>
      </c>
      <c r="B331" t="s">
        <v>48</v>
      </c>
      <c r="C331" s="2">
        <v>46067</v>
      </c>
      <c r="D331">
        <v>399</v>
      </c>
      <c r="E331">
        <v>131.5</v>
      </c>
      <c r="F331" s="8">
        <f t="shared" si="15"/>
        <v>3.0342205323193916</v>
      </c>
      <c r="G331">
        <v>3.9</v>
      </c>
      <c r="H331">
        <v>2</v>
      </c>
      <c r="I331">
        <v>64.900000000000006</v>
      </c>
      <c r="J331">
        <v>88.6</v>
      </c>
      <c r="K331" t="str">
        <f>IF(COUNTIFS($A$2:A331, A331, $C$2:C331, C331)&gt;1, "Duplicate", "Unique")</f>
        <v>Unique</v>
      </c>
      <c r="L331" t="str">
        <f t="shared" si="16"/>
        <v>Normal</v>
      </c>
      <c r="M331" t="str">
        <f t="shared" si="17"/>
        <v>Normal</v>
      </c>
      <c r="N331" s="55"/>
    </row>
    <row r="332" spans="1:14" x14ac:dyDescent="0.3">
      <c r="A332" t="s">
        <v>47</v>
      </c>
      <c r="B332" t="s">
        <v>48</v>
      </c>
      <c r="C332" s="2">
        <v>46034</v>
      </c>
      <c r="D332">
        <v>322.2</v>
      </c>
      <c r="E332">
        <v>92.7</v>
      </c>
      <c r="F332" s="8">
        <f t="shared" si="15"/>
        <v>3.4757281553398056</v>
      </c>
      <c r="G332">
        <v>1.8</v>
      </c>
      <c r="H332">
        <v>3</v>
      </c>
      <c r="I332">
        <v>32.299999999999997</v>
      </c>
      <c r="J332">
        <v>94.4</v>
      </c>
      <c r="K332" t="str">
        <f>IF(COUNTIFS($A$2:A332, A332, $C$2:C332, C332)&gt;1, "Duplicate", "Unique")</f>
        <v>Unique</v>
      </c>
      <c r="L332" t="str">
        <f t="shared" si="16"/>
        <v>Normal</v>
      </c>
      <c r="M332" t="str">
        <f t="shared" si="17"/>
        <v>Normal</v>
      </c>
      <c r="N332" s="55"/>
    </row>
    <row r="333" spans="1:14" x14ac:dyDescent="0.3">
      <c r="A333" t="s">
        <v>47</v>
      </c>
      <c r="B333" t="s">
        <v>48</v>
      </c>
      <c r="C333" s="2">
        <v>46044</v>
      </c>
      <c r="D333">
        <v>217.6</v>
      </c>
      <c r="F333" s="8">
        <f t="shared" si="15"/>
        <v>0</v>
      </c>
      <c r="G333">
        <v>4</v>
      </c>
      <c r="H333">
        <v>2</v>
      </c>
      <c r="I333">
        <v>64.7</v>
      </c>
      <c r="J333">
        <v>85.4</v>
      </c>
      <c r="K333" t="str">
        <f>IF(COUNTIFS($A$2:A333, A333, $C$2:C333, C333)&gt;1, "Duplicate", "Unique")</f>
        <v>Unique</v>
      </c>
      <c r="L333" t="str">
        <f t="shared" si="16"/>
        <v>Normal</v>
      </c>
      <c r="M333">
        <f t="shared" si="17"/>
        <v>0</v>
      </c>
      <c r="N333" s="55"/>
    </row>
    <row r="334" spans="1:14" x14ac:dyDescent="0.3">
      <c r="A334" t="s">
        <v>47</v>
      </c>
      <c r="B334" t="s">
        <v>48</v>
      </c>
      <c r="C334" s="2">
        <v>46034</v>
      </c>
      <c r="D334">
        <v>96.2</v>
      </c>
      <c r="E334">
        <v>28.1</v>
      </c>
      <c r="F334" s="8">
        <f t="shared" si="15"/>
        <v>3.4234875444839856</v>
      </c>
      <c r="G334">
        <v>3.8</v>
      </c>
      <c r="H334">
        <v>7</v>
      </c>
      <c r="I334">
        <v>61.5</v>
      </c>
      <c r="J334">
        <v>90.6</v>
      </c>
      <c r="K334" t="str">
        <f>IF(COUNTIFS($A$2:A334, A334, $C$2:C334, C334)&gt;1, "Duplicate", "Unique")</f>
        <v>Duplicate</v>
      </c>
      <c r="L334" t="str">
        <f t="shared" si="16"/>
        <v>Normal</v>
      </c>
      <c r="M334" t="str">
        <f t="shared" si="17"/>
        <v>Normal</v>
      </c>
      <c r="N334" s="55"/>
    </row>
    <row r="335" spans="1:14" x14ac:dyDescent="0.3">
      <c r="A335" t="s">
        <v>47</v>
      </c>
      <c r="B335" t="s">
        <v>48</v>
      </c>
      <c r="C335" s="2">
        <v>46034</v>
      </c>
      <c r="D335">
        <v>317.5</v>
      </c>
      <c r="E335">
        <v>82.5</v>
      </c>
      <c r="F335" s="8">
        <f t="shared" si="15"/>
        <v>3.8484848484848486</v>
      </c>
      <c r="G335">
        <v>1.8</v>
      </c>
      <c r="H335">
        <v>7</v>
      </c>
      <c r="I335">
        <v>46.6</v>
      </c>
      <c r="J335">
        <v>91.7</v>
      </c>
      <c r="K335" t="str">
        <f>IF(COUNTIFS($A$2:A335, A335, $C$2:C335, C335)&gt;1, "Duplicate", "Unique")</f>
        <v>Duplicate</v>
      </c>
      <c r="L335" t="str">
        <f t="shared" si="16"/>
        <v>Normal</v>
      </c>
      <c r="M335" t="str">
        <f t="shared" si="17"/>
        <v>Normal</v>
      </c>
      <c r="N335" s="55"/>
    </row>
    <row r="336" spans="1:14" x14ac:dyDescent="0.3">
      <c r="A336" t="s">
        <v>47</v>
      </c>
      <c r="B336" t="s">
        <v>48</v>
      </c>
      <c r="C336" s="2">
        <v>46079</v>
      </c>
      <c r="D336">
        <v>252.1</v>
      </c>
      <c r="E336">
        <v>73.900000000000006</v>
      </c>
      <c r="F336" s="8">
        <f t="shared" si="15"/>
        <v>3.4113667117726654</v>
      </c>
      <c r="G336">
        <v>1.4</v>
      </c>
      <c r="H336">
        <v>1</v>
      </c>
      <c r="I336">
        <v>36.799999999999997</v>
      </c>
      <c r="J336">
        <v>95.4</v>
      </c>
      <c r="K336" t="str">
        <f>IF(COUNTIFS($A$2:A336, A336, $C$2:C336, C336)&gt;1, "Duplicate", "Unique")</f>
        <v>Unique</v>
      </c>
      <c r="L336" t="str">
        <f t="shared" si="16"/>
        <v>Normal</v>
      </c>
      <c r="M336" t="str">
        <f t="shared" si="17"/>
        <v>Normal</v>
      </c>
      <c r="N336" s="55"/>
    </row>
    <row r="337" spans="1:14" x14ac:dyDescent="0.3">
      <c r="A337" t="s">
        <v>47</v>
      </c>
      <c r="B337" t="s">
        <v>48</v>
      </c>
      <c r="C337" s="2">
        <v>46077</v>
      </c>
      <c r="D337">
        <v>411.3</v>
      </c>
      <c r="E337">
        <v>80.7</v>
      </c>
      <c r="F337" s="8">
        <f t="shared" si="15"/>
        <v>5.0966542750929369</v>
      </c>
      <c r="G337">
        <v>2.2000000000000002</v>
      </c>
      <c r="H337">
        <v>4</v>
      </c>
      <c r="I337">
        <v>51</v>
      </c>
      <c r="J337">
        <v>95.2</v>
      </c>
      <c r="K337" t="str">
        <f>IF(COUNTIFS($A$2:A337, A337, $C$2:C337, C337)&gt;1, "Duplicate", "Unique")</f>
        <v>Unique</v>
      </c>
      <c r="L337" t="str">
        <f t="shared" si="16"/>
        <v>Normal</v>
      </c>
      <c r="M337" t="str">
        <f t="shared" si="17"/>
        <v>Normal</v>
      </c>
      <c r="N337" s="55"/>
    </row>
    <row r="338" spans="1:14" x14ac:dyDescent="0.3">
      <c r="A338" t="s">
        <v>47</v>
      </c>
      <c r="B338" t="s">
        <v>48</v>
      </c>
      <c r="C338" s="2">
        <v>46106</v>
      </c>
      <c r="D338">
        <v>343.1</v>
      </c>
      <c r="E338">
        <v>65.900000000000006</v>
      </c>
      <c r="F338" s="8">
        <f t="shared" si="15"/>
        <v>5.2063732928679816</v>
      </c>
      <c r="G338">
        <v>1.5</v>
      </c>
      <c r="H338">
        <v>3</v>
      </c>
      <c r="I338">
        <v>53.3</v>
      </c>
      <c r="J338">
        <v>88.6</v>
      </c>
      <c r="K338" t="str">
        <f>IF(COUNTIFS($A$2:A338, A338, $C$2:C338, C338)&gt;1, "Duplicate", "Unique")</f>
        <v>Unique</v>
      </c>
      <c r="L338" t="str">
        <f t="shared" si="16"/>
        <v>Normal</v>
      </c>
      <c r="M338" t="str">
        <f t="shared" si="17"/>
        <v>Normal</v>
      </c>
      <c r="N338" s="55"/>
    </row>
    <row r="339" spans="1:14" x14ac:dyDescent="0.3">
      <c r="A339" t="s">
        <v>47</v>
      </c>
      <c r="B339" t="s">
        <v>48</v>
      </c>
      <c r="C339" s="2">
        <v>46076</v>
      </c>
      <c r="D339">
        <v>229.7</v>
      </c>
      <c r="E339">
        <v>48</v>
      </c>
      <c r="F339" s="8">
        <f t="shared" si="15"/>
        <v>4.7854166666666664</v>
      </c>
      <c r="G339">
        <v>2.7</v>
      </c>
      <c r="H339">
        <v>4</v>
      </c>
      <c r="I339">
        <v>45.4</v>
      </c>
      <c r="J339">
        <v>95.7</v>
      </c>
      <c r="K339" t="str">
        <f>IF(COUNTIFS($A$2:A339, A339, $C$2:C339, C339)&gt;1, "Duplicate", "Unique")</f>
        <v>Duplicate</v>
      </c>
      <c r="L339" t="str">
        <f t="shared" si="16"/>
        <v>Normal</v>
      </c>
      <c r="M339" t="str">
        <f t="shared" si="17"/>
        <v>Normal</v>
      </c>
      <c r="N339" s="55"/>
    </row>
    <row r="340" spans="1:14" x14ac:dyDescent="0.3">
      <c r="A340" t="s">
        <v>47</v>
      </c>
      <c r="B340" t="s">
        <v>48</v>
      </c>
      <c r="C340" s="2">
        <v>46082</v>
      </c>
      <c r="D340">
        <v>98.5</v>
      </c>
      <c r="E340">
        <v>19.7</v>
      </c>
      <c r="F340" s="8">
        <f t="shared" si="15"/>
        <v>5</v>
      </c>
      <c r="G340">
        <v>4</v>
      </c>
      <c r="H340">
        <v>5</v>
      </c>
      <c r="I340">
        <v>46.2</v>
      </c>
      <c r="J340">
        <v>95.2</v>
      </c>
      <c r="K340" t="str">
        <f>IF(COUNTIFS($A$2:A340, A340, $C$2:C340, C340)&gt;1, "Duplicate", "Unique")</f>
        <v>Unique</v>
      </c>
      <c r="L340" t="str">
        <f t="shared" si="16"/>
        <v>Normal</v>
      </c>
      <c r="M340" t="str">
        <f t="shared" si="17"/>
        <v>Normal</v>
      </c>
      <c r="N340" s="55"/>
    </row>
    <row r="341" spans="1:14" x14ac:dyDescent="0.3">
      <c r="A341" t="s">
        <v>47</v>
      </c>
      <c r="B341" t="s">
        <v>48</v>
      </c>
      <c r="C341" s="2">
        <v>46029</v>
      </c>
      <c r="D341">
        <v>267.60000000000002</v>
      </c>
      <c r="E341">
        <v>62.4</v>
      </c>
      <c r="F341" s="8">
        <f t="shared" si="15"/>
        <v>4.2884615384615392</v>
      </c>
      <c r="G341">
        <v>1.8</v>
      </c>
      <c r="H341">
        <v>4</v>
      </c>
      <c r="I341">
        <v>33.5</v>
      </c>
      <c r="J341">
        <v>91.7</v>
      </c>
      <c r="K341" t="str">
        <f>IF(COUNTIFS($A$2:A341, A341, $C$2:C341, C341)&gt;1, "Duplicate", "Unique")</f>
        <v>Unique</v>
      </c>
      <c r="L341" t="str">
        <f t="shared" si="16"/>
        <v>Normal</v>
      </c>
      <c r="M341" t="str">
        <f t="shared" si="17"/>
        <v>Normal</v>
      </c>
      <c r="N341" s="55"/>
    </row>
    <row r="342" spans="1:14" x14ac:dyDescent="0.3">
      <c r="A342" t="s">
        <v>47</v>
      </c>
      <c r="B342" t="s">
        <v>48</v>
      </c>
      <c r="C342" s="2">
        <v>46023</v>
      </c>
      <c r="D342">
        <v>202.3</v>
      </c>
      <c r="E342">
        <v>42.9</v>
      </c>
      <c r="F342" s="8">
        <f t="shared" si="15"/>
        <v>4.7156177156177161</v>
      </c>
      <c r="G342">
        <v>0.9</v>
      </c>
      <c r="H342">
        <v>3</v>
      </c>
      <c r="I342">
        <v>71.8</v>
      </c>
      <c r="J342">
        <v>94</v>
      </c>
      <c r="K342" t="str">
        <f>IF(COUNTIFS($A$2:A342, A342, $C$2:C342, C342)&gt;1, "Duplicate", "Unique")</f>
        <v>Unique</v>
      </c>
      <c r="L342" t="str">
        <f t="shared" si="16"/>
        <v>Normal</v>
      </c>
      <c r="M342" t="str">
        <f t="shared" si="17"/>
        <v>Normal</v>
      </c>
      <c r="N342" s="55"/>
    </row>
    <row r="343" spans="1:14" x14ac:dyDescent="0.3">
      <c r="A343" t="s">
        <v>47</v>
      </c>
      <c r="B343" t="s">
        <v>48</v>
      </c>
      <c r="C343" s="2">
        <v>46047</v>
      </c>
      <c r="D343">
        <v>122.4</v>
      </c>
      <c r="E343">
        <v>26.5</v>
      </c>
      <c r="F343" s="8">
        <f t="shared" si="15"/>
        <v>4.6188679245283017</v>
      </c>
      <c r="G343">
        <v>2.6</v>
      </c>
      <c r="H343">
        <v>1</v>
      </c>
      <c r="I343">
        <v>68.3</v>
      </c>
      <c r="J343">
        <v>99</v>
      </c>
      <c r="K343" t="str">
        <f>IF(COUNTIFS($A$2:A343, A343, $C$2:C343, C343)&gt;1, "Duplicate", "Unique")</f>
        <v>Duplicate</v>
      </c>
      <c r="L343" t="str">
        <f t="shared" si="16"/>
        <v>Normal</v>
      </c>
      <c r="M343" t="str">
        <f t="shared" si="17"/>
        <v>Normal</v>
      </c>
      <c r="N343" s="55"/>
    </row>
    <row r="344" spans="1:14" x14ac:dyDescent="0.3">
      <c r="A344" t="s">
        <v>47</v>
      </c>
      <c r="B344" t="s">
        <v>48</v>
      </c>
      <c r="C344" s="2">
        <v>46040</v>
      </c>
      <c r="D344">
        <v>409.8</v>
      </c>
      <c r="E344">
        <v>123</v>
      </c>
      <c r="F344" s="8">
        <f t="shared" si="15"/>
        <v>3.331707317073171</v>
      </c>
      <c r="G344">
        <v>3.4</v>
      </c>
      <c r="H344">
        <v>2</v>
      </c>
      <c r="I344">
        <v>62.7</v>
      </c>
      <c r="J344">
        <v>98.4</v>
      </c>
      <c r="K344" t="str">
        <f>IF(COUNTIFS($A$2:A344, A344, $C$2:C344, C344)&gt;1, "Duplicate", "Unique")</f>
        <v>Unique</v>
      </c>
      <c r="L344" t="str">
        <f t="shared" si="16"/>
        <v>Normal</v>
      </c>
      <c r="M344" t="str">
        <f t="shared" si="17"/>
        <v>Normal</v>
      </c>
      <c r="N344" s="55"/>
    </row>
    <row r="345" spans="1:14" x14ac:dyDescent="0.3">
      <c r="A345" t="s">
        <v>47</v>
      </c>
      <c r="B345" t="s">
        <v>48</v>
      </c>
      <c r="C345" s="2">
        <v>46054</v>
      </c>
      <c r="D345">
        <v>186.3</v>
      </c>
      <c r="E345">
        <v>48.1</v>
      </c>
      <c r="F345" s="8">
        <f t="shared" si="15"/>
        <v>3.8731808731808735</v>
      </c>
      <c r="G345">
        <v>3.4</v>
      </c>
      <c r="H345">
        <v>6</v>
      </c>
      <c r="I345">
        <v>33.4</v>
      </c>
      <c r="J345">
        <v>99</v>
      </c>
      <c r="K345" t="str">
        <f>IF(COUNTIFS($A$2:A345, A345, $C$2:C345, C345)&gt;1, "Duplicate", "Unique")</f>
        <v>Duplicate</v>
      </c>
      <c r="L345" t="str">
        <f t="shared" si="16"/>
        <v>Normal</v>
      </c>
      <c r="M345" t="str">
        <f t="shared" si="17"/>
        <v>Normal</v>
      </c>
      <c r="N345" s="55"/>
    </row>
    <row r="346" spans="1:14" x14ac:dyDescent="0.3">
      <c r="A346" t="s">
        <v>47</v>
      </c>
      <c r="B346" t="s">
        <v>48</v>
      </c>
      <c r="C346" s="2">
        <v>46112</v>
      </c>
      <c r="D346">
        <v>357.4</v>
      </c>
      <c r="E346">
        <v>106.1</v>
      </c>
      <c r="F346" s="8">
        <f t="shared" si="15"/>
        <v>3.3685202639019791</v>
      </c>
      <c r="G346">
        <v>1.9</v>
      </c>
      <c r="H346">
        <v>2</v>
      </c>
      <c r="I346">
        <v>32.9</v>
      </c>
      <c r="J346">
        <v>98.2</v>
      </c>
      <c r="K346" t="str">
        <f>IF(COUNTIFS($A$2:A346, A346, $C$2:C346, C346)&gt;1, "Duplicate", "Unique")</f>
        <v>Unique</v>
      </c>
      <c r="L346" t="str">
        <f t="shared" si="16"/>
        <v>Normal</v>
      </c>
      <c r="M346" t="str">
        <f t="shared" si="17"/>
        <v>Normal</v>
      </c>
      <c r="N346" s="55"/>
    </row>
    <row r="347" spans="1:14" x14ac:dyDescent="0.3">
      <c r="A347" t="s">
        <v>47</v>
      </c>
      <c r="B347" t="s">
        <v>48</v>
      </c>
      <c r="C347" s="2">
        <v>46075</v>
      </c>
      <c r="D347">
        <v>149.6</v>
      </c>
      <c r="E347">
        <v>50.1</v>
      </c>
      <c r="F347" s="8">
        <f t="shared" si="15"/>
        <v>2.9860279441117763</v>
      </c>
      <c r="G347">
        <v>0.8</v>
      </c>
      <c r="H347">
        <v>2</v>
      </c>
      <c r="I347">
        <v>58.7</v>
      </c>
      <c r="J347">
        <v>94.3</v>
      </c>
      <c r="K347" t="str">
        <f>IF(COUNTIFS($A$2:A347, A347, $C$2:C347, C347)&gt;1, "Duplicate", "Unique")</f>
        <v>Unique</v>
      </c>
      <c r="L347" t="str">
        <f t="shared" si="16"/>
        <v>Normal</v>
      </c>
      <c r="M347" t="str">
        <f t="shared" si="17"/>
        <v>Suspiciously Low Efficiency</v>
      </c>
      <c r="N347" s="55"/>
    </row>
    <row r="348" spans="1:14" x14ac:dyDescent="0.3">
      <c r="A348" t="s">
        <v>47</v>
      </c>
      <c r="B348" t="s">
        <v>48</v>
      </c>
      <c r="C348" s="2">
        <v>46112</v>
      </c>
      <c r="D348">
        <v>310.39999999999998</v>
      </c>
      <c r="E348">
        <v>93.9</v>
      </c>
      <c r="F348" s="8">
        <f t="shared" si="15"/>
        <v>3.305644302449414</v>
      </c>
      <c r="G348">
        <v>0.3</v>
      </c>
      <c r="H348">
        <v>1</v>
      </c>
      <c r="I348">
        <v>73.599999999999994</v>
      </c>
      <c r="J348">
        <v>85.3</v>
      </c>
      <c r="K348" t="str">
        <f>IF(COUNTIFS($A$2:A348, A348, $C$2:C348, C348)&gt;1, "Duplicate", "Unique")</f>
        <v>Duplicate</v>
      </c>
      <c r="L348" t="str">
        <f t="shared" si="16"/>
        <v>Normal</v>
      </c>
      <c r="M348" t="str">
        <f t="shared" si="17"/>
        <v>Normal</v>
      </c>
      <c r="N348" s="55"/>
    </row>
    <row r="349" spans="1:14" x14ac:dyDescent="0.3">
      <c r="A349" t="s">
        <v>47</v>
      </c>
      <c r="B349" t="s">
        <v>48</v>
      </c>
      <c r="C349" s="2">
        <v>46042</v>
      </c>
      <c r="D349">
        <v>368.3</v>
      </c>
      <c r="E349">
        <v>119.3</v>
      </c>
      <c r="F349" s="8">
        <f t="shared" si="15"/>
        <v>3.0871751886001677</v>
      </c>
      <c r="G349">
        <v>1</v>
      </c>
      <c r="H349">
        <v>5</v>
      </c>
      <c r="I349">
        <v>57.3</v>
      </c>
      <c r="J349">
        <v>94.2</v>
      </c>
      <c r="K349" t="str">
        <f>IF(COUNTIFS($A$2:A349, A349, $C$2:C349, C349)&gt;1, "Duplicate", "Unique")</f>
        <v>Unique</v>
      </c>
      <c r="L349" t="str">
        <f t="shared" si="16"/>
        <v>Normal</v>
      </c>
      <c r="M349" t="str">
        <f t="shared" si="17"/>
        <v>Normal</v>
      </c>
      <c r="N349" s="55"/>
    </row>
    <row r="350" spans="1:14" x14ac:dyDescent="0.3">
      <c r="A350" t="s">
        <v>47</v>
      </c>
      <c r="B350" t="s">
        <v>48</v>
      </c>
      <c r="C350" s="2">
        <v>46031</v>
      </c>
      <c r="D350">
        <v>193.9</v>
      </c>
      <c r="E350">
        <v>46.5</v>
      </c>
      <c r="F350" s="8">
        <f t="shared" si="15"/>
        <v>4.1698924731182796</v>
      </c>
      <c r="G350">
        <v>1.6</v>
      </c>
      <c r="H350">
        <v>1</v>
      </c>
      <c r="I350">
        <v>35.1</v>
      </c>
      <c r="J350">
        <v>90</v>
      </c>
      <c r="K350" t="str">
        <f>IF(COUNTIFS($A$2:A350, A350, $C$2:C350, C350)&gt;1, "Duplicate", "Unique")</f>
        <v>Unique</v>
      </c>
      <c r="L350" t="str">
        <f t="shared" si="16"/>
        <v>Normal</v>
      </c>
      <c r="M350" t="str">
        <f t="shared" si="17"/>
        <v>Normal</v>
      </c>
      <c r="N350" s="55"/>
    </row>
    <row r="351" spans="1:14" x14ac:dyDescent="0.3">
      <c r="A351" t="s">
        <v>47</v>
      </c>
      <c r="B351" t="s">
        <v>48</v>
      </c>
      <c r="C351" s="2">
        <v>46060</v>
      </c>
      <c r="D351">
        <v>252.8</v>
      </c>
      <c r="E351">
        <v>47.5</v>
      </c>
      <c r="F351" s="8">
        <f t="shared" si="15"/>
        <v>5.3221052631578951</v>
      </c>
      <c r="G351">
        <v>2.9</v>
      </c>
      <c r="H351">
        <v>5</v>
      </c>
      <c r="I351">
        <v>64.599999999999994</v>
      </c>
      <c r="J351">
        <v>95.4</v>
      </c>
      <c r="K351" t="str">
        <f>IF(COUNTIFS($A$2:A351, A351, $C$2:C351, C351)&gt;1, "Duplicate", "Unique")</f>
        <v>Unique</v>
      </c>
      <c r="L351" t="str">
        <f t="shared" si="16"/>
        <v>Normal</v>
      </c>
      <c r="M351" t="str">
        <f t="shared" si="17"/>
        <v>Normal</v>
      </c>
      <c r="N351" s="55"/>
    </row>
    <row r="352" spans="1:14" x14ac:dyDescent="0.3">
      <c r="A352" t="s">
        <v>47</v>
      </c>
      <c r="B352" t="s">
        <v>48</v>
      </c>
      <c r="C352" s="2">
        <v>46056</v>
      </c>
      <c r="D352">
        <v>145.80000000000001</v>
      </c>
      <c r="E352">
        <v>48.8</v>
      </c>
      <c r="F352" s="8">
        <f t="shared" si="15"/>
        <v>2.9877049180327875</v>
      </c>
      <c r="G352">
        <v>4.4000000000000004</v>
      </c>
      <c r="H352">
        <v>4</v>
      </c>
      <c r="I352">
        <v>57.5</v>
      </c>
      <c r="J352">
        <v>87.7</v>
      </c>
      <c r="K352" t="str">
        <f>IF(COUNTIFS($A$2:A352, A352, $C$2:C352, C352)&gt;1, "Duplicate", "Unique")</f>
        <v>Unique</v>
      </c>
      <c r="L352" t="str">
        <f t="shared" si="16"/>
        <v>Normal</v>
      </c>
      <c r="M352" t="str">
        <f t="shared" si="17"/>
        <v>Suspiciously Low Efficiency</v>
      </c>
      <c r="N352" s="55"/>
    </row>
    <row r="353" spans="1:14" x14ac:dyDescent="0.3">
      <c r="A353" t="s">
        <v>47</v>
      </c>
      <c r="B353" t="s">
        <v>48</v>
      </c>
      <c r="C353" s="2">
        <v>46024</v>
      </c>
      <c r="D353">
        <v>350.1</v>
      </c>
      <c r="E353">
        <v>73.099999999999994</v>
      </c>
      <c r="F353" s="8">
        <f t="shared" si="15"/>
        <v>4.7893296853625174</v>
      </c>
      <c r="G353">
        <v>1.3</v>
      </c>
      <c r="H353">
        <v>6</v>
      </c>
      <c r="I353">
        <v>49.5</v>
      </c>
      <c r="J353">
        <v>88.3</v>
      </c>
      <c r="K353" t="str">
        <f>IF(COUNTIFS($A$2:A353, A353, $C$2:C353, C353)&gt;1, "Duplicate", "Unique")</f>
        <v>Unique</v>
      </c>
      <c r="L353" t="str">
        <f t="shared" si="16"/>
        <v>Normal</v>
      </c>
      <c r="M353" t="str">
        <f t="shared" si="17"/>
        <v>Normal</v>
      </c>
      <c r="N353" s="55"/>
    </row>
    <row r="354" spans="1:14" x14ac:dyDescent="0.3">
      <c r="A354" t="s">
        <v>47</v>
      </c>
      <c r="B354" t="s">
        <v>48</v>
      </c>
      <c r="C354" s="2">
        <v>46076</v>
      </c>
      <c r="D354">
        <v>144.69999999999999</v>
      </c>
      <c r="E354">
        <v>35.700000000000003</v>
      </c>
      <c r="F354" s="8">
        <f t="shared" si="15"/>
        <v>4.0532212885154051</v>
      </c>
      <c r="G354">
        <v>2.6</v>
      </c>
      <c r="H354">
        <v>3</v>
      </c>
      <c r="I354">
        <v>39</v>
      </c>
      <c r="J354">
        <v>97.5</v>
      </c>
      <c r="K354" t="str">
        <f>IF(COUNTIFS($A$2:A354, A354, $C$2:C354, C354)&gt;1, "Duplicate", "Unique")</f>
        <v>Duplicate</v>
      </c>
      <c r="L354" t="str">
        <f t="shared" si="16"/>
        <v>Normal</v>
      </c>
      <c r="M354" t="str">
        <f t="shared" si="17"/>
        <v>Normal</v>
      </c>
      <c r="N354" s="55"/>
    </row>
    <row r="355" spans="1:14" x14ac:dyDescent="0.3">
      <c r="A355" t="s">
        <v>29</v>
      </c>
      <c r="B355" t="s">
        <v>30</v>
      </c>
      <c r="C355" s="2">
        <v>46078</v>
      </c>
      <c r="D355">
        <v>138.5</v>
      </c>
      <c r="E355">
        <v>49.3</v>
      </c>
      <c r="F355" s="8">
        <f t="shared" si="15"/>
        <v>2.8093306288032456</v>
      </c>
      <c r="G355">
        <v>3.3</v>
      </c>
      <c r="H355">
        <v>5</v>
      </c>
      <c r="I355">
        <v>73.7</v>
      </c>
      <c r="J355">
        <v>96.4</v>
      </c>
      <c r="K355" t="str">
        <f>IF(COUNTIFS($A$2:A355, A355, $C$2:C355, C355)&gt;1, "Duplicate", "Unique")</f>
        <v>Unique</v>
      </c>
      <c r="L355" t="str">
        <f t="shared" si="16"/>
        <v>Normal</v>
      </c>
      <c r="M355" t="str">
        <f t="shared" si="17"/>
        <v>Suspiciously Low Efficiency</v>
      </c>
      <c r="N355" s="55"/>
    </row>
    <row r="356" spans="1:14" x14ac:dyDescent="0.3">
      <c r="A356" t="s">
        <v>29</v>
      </c>
      <c r="B356" t="s">
        <v>30</v>
      </c>
      <c r="C356" s="2">
        <v>46053</v>
      </c>
      <c r="D356">
        <v>101.4</v>
      </c>
      <c r="E356">
        <v>19.600000000000001</v>
      </c>
      <c r="F356" s="8">
        <f t="shared" si="15"/>
        <v>5.1734693877551017</v>
      </c>
      <c r="G356">
        <v>4.3</v>
      </c>
      <c r="H356">
        <v>2</v>
      </c>
      <c r="I356">
        <v>62.9</v>
      </c>
      <c r="J356">
        <v>97.2</v>
      </c>
      <c r="K356" t="str">
        <f>IF(COUNTIFS($A$2:A356, A356, $C$2:C356, C356)&gt;1, "Duplicate", "Unique")</f>
        <v>Unique</v>
      </c>
      <c r="L356" t="str">
        <f t="shared" si="16"/>
        <v>Normal</v>
      </c>
      <c r="M356" t="str">
        <f t="shared" si="17"/>
        <v>Normal</v>
      </c>
      <c r="N356" s="55"/>
    </row>
    <row r="357" spans="1:14" x14ac:dyDescent="0.3">
      <c r="A357" t="s">
        <v>29</v>
      </c>
      <c r="B357" t="s">
        <v>30</v>
      </c>
      <c r="C357" s="2">
        <v>46081</v>
      </c>
      <c r="D357">
        <v>197</v>
      </c>
      <c r="E357">
        <v>40.799999999999997</v>
      </c>
      <c r="F357" s="8">
        <f t="shared" si="15"/>
        <v>4.8284313725490202</v>
      </c>
      <c r="G357">
        <v>0.5</v>
      </c>
      <c r="H357">
        <v>8</v>
      </c>
      <c r="I357">
        <v>58</v>
      </c>
      <c r="J357">
        <v>93.4</v>
      </c>
      <c r="K357" t="str">
        <f>IF(COUNTIFS($A$2:A357, A357, $C$2:C357, C357)&gt;1, "Duplicate", "Unique")</f>
        <v>Unique</v>
      </c>
      <c r="L357" t="str">
        <f t="shared" si="16"/>
        <v>Normal</v>
      </c>
      <c r="M357" t="str">
        <f t="shared" si="17"/>
        <v>Normal</v>
      </c>
      <c r="N357" s="55"/>
    </row>
    <row r="358" spans="1:14" x14ac:dyDescent="0.3">
      <c r="A358" t="s">
        <v>29</v>
      </c>
      <c r="B358" t="s">
        <v>30</v>
      </c>
      <c r="C358" s="2">
        <v>46072</v>
      </c>
      <c r="D358">
        <v>395.8</v>
      </c>
      <c r="E358">
        <v>73.599999999999994</v>
      </c>
      <c r="F358" s="8">
        <f t="shared" si="15"/>
        <v>5.3777173913043486</v>
      </c>
      <c r="G358">
        <v>2</v>
      </c>
      <c r="H358">
        <v>4</v>
      </c>
      <c r="I358">
        <v>52</v>
      </c>
      <c r="J358">
        <v>89.1</v>
      </c>
      <c r="K358" t="str">
        <f>IF(COUNTIFS($A$2:A358, A358, $C$2:C358, C358)&gt;1, "Duplicate", "Unique")</f>
        <v>Unique</v>
      </c>
      <c r="L358" t="str">
        <f t="shared" si="16"/>
        <v>Normal</v>
      </c>
      <c r="M358" t="str">
        <f t="shared" si="17"/>
        <v>Normal</v>
      </c>
      <c r="N358" s="55"/>
    </row>
    <row r="359" spans="1:14" x14ac:dyDescent="0.3">
      <c r="A359" t="s">
        <v>29</v>
      </c>
      <c r="B359" t="s">
        <v>30</v>
      </c>
      <c r="C359" s="2">
        <v>46051</v>
      </c>
      <c r="D359">
        <v>229.6</v>
      </c>
      <c r="E359">
        <v>66.400000000000006</v>
      </c>
      <c r="F359" s="8">
        <f t="shared" si="15"/>
        <v>3.4578313253012043</v>
      </c>
      <c r="G359">
        <v>3.1</v>
      </c>
      <c r="H359">
        <v>6</v>
      </c>
      <c r="I359">
        <v>51.3</v>
      </c>
      <c r="J359">
        <v>93</v>
      </c>
      <c r="K359" t="str">
        <f>IF(COUNTIFS($A$2:A359, A359, $C$2:C359, C359)&gt;1, "Duplicate", "Unique")</f>
        <v>Unique</v>
      </c>
      <c r="L359" t="str">
        <f t="shared" si="16"/>
        <v>Normal</v>
      </c>
      <c r="M359" t="str">
        <f t="shared" si="17"/>
        <v>Normal</v>
      </c>
      <c r="N359" s="55"/>
    </row>
    <row r="360" spans="1:14" x14ac:dyDescent="0.3">
      <c r="A360" t="s">
        <v>29</v>
      </c>
      <c r="B360" t="s">
        <v>30</v>
      </c>
      <c r="C360" s="2">
        <v>46033</v>
      </c>
      <c r="D360">
        <v>447.7</v>
      </c>
      <c r="E360">
        <v>143.5</v>
      </c>
      <c r="F360" s="8">
        <f t="shared" si="15"/>
        <v>3.1198606271777001</v>
      </c>
      <c r="G360">
        <v>3.5</v>
      </c>
      <c r="H360">
        <v>4</v>
      </c>
      <c r="I360">
        <v>64.900000000000006</v>
      </c>
      <c r="J360">
        <v>90.7</v>
      </c>
      <c r="K360" t="str">
        <f>IF(COUNTIFS($A$2:A360, A360, $C$2:C360, C360)&gt;1, "Duplicate", "Unique")</f>
        <v>Unique</v>
      </c>
      <c r="L360" t="str">
        <f t="shared" si="16"/>
        <v>Normal</v>
      </c>
      <c r="M360" t="str">
        <f t="shared" si="17"/>
        <v>Normal</v>
      </c>
      <c r="N360" s="55"/>
    </row>
    <row r="361" spans="1:14" x14ac:dyDescent="0.3">
      <c r="A361" t="s">
        <v>29</v>
      </c>
      <c r="B361" t="s">
        <v>30</v>
      </c>
      <c r="C361" s="2">
        <v>46079</v>
      </c>
      <c r="D361">
        <v>126</v>
      </c>
      <c r="E361">
        <v>27</v>
      </c>
      <c r="F361" s="8">
        <f t="shared" si="15"/>
        <v>4.666666666666667</v>
      </c>
      <c r="G361">
        <v>3.2</v>
      </c>
      <c r="H361">
        <v>5</v>
      </c>
      <c r="I361">
        <v>52.5</v>
      </c>
      <c r="J361">
        <v>92.4</v>
      </c>
      <c r="K361" t="str">
        <f>IF(COUNTIFS($A$2:A361, A361, $C$2:C361, C361)&gt;1, "Duplicate", "Unique")</f>
        <v>Unique</v>
      </c>
      <c r="L361" t="str">
        <f t="shared" si="16"/>
        <v>Normal</v>
      </c>
      <c r="M361" t="str">
        <f t="shared" si="17"/>
        <v>Normal</v>
      </c>
      <c r="N361" s="55"/>
    </row>
    <row r="362" spans="1:14" x14ac:dyDescent="0.3">
      <c r="A362" t="s">
        <v>29</v>
      </c>
      <c r="B362" t="s">
        <v>30</v>
      </c>
      <c r="C362" s="2">
        <v>46107</v>
      </c>
      <c r="D362">
        <v>429.7</v>
      </c>
      <c r="E362">
        <v>86</v>
      </c>
      <c r="F362" s="8">
        <f t="shared" si="15"/>
        <v>4.996511627906977</v>
      </c>
      <c r="G362">
        <v>2.6</v>
      </c>
      <c r="H362">
        <v>8</v>
      </c>
      <c r="I362">
        <v>34</v>
      </c>
      <c r="J362">
        <v>88.8</v>
      </c>
      <c r="K362" t="str">
        <f>IF(COUNTIFS($A$2:A362, A362, $C$2:C362, C362)&gt;1, "Duplicate", "Unique")</f>
        <v>Unique</v>
      </c>
      <c r="L362" t="str">
        <f t="shared" si="16"/>
        <v>Normal</v>
      </c>
      <c r="M362" t="str">
        <f t="shared" si="17"/>
        <v>Normal</v>
      </c>
      <c r="N362" s="55"/>
    </row>
    <row r="363" spans="1:14" x14ac:dyDescent="0.3">
      <c r="A363" t="s">
        <v>29</v>
      </c>
      <c r="B363" t="s">
        <v>30</v>
      </c>
      <c r="C363" s="2">
        <v>46079</v>
      </c>
      <c r="D363">
        <v>405.9</v>
      </c>
      <c r="E363">
        <v>98.8</v>
      </c>
      <c r="F363" s="8">
        <f t="shared" si="15"/>
        <v>4.1082995951417001</v>
      </c>
      <c r="G363">
        <v>0.3</v>
      </c>
      <c r="H363">
        <v>4</v>
      </c>
      <c r="I363">
        <v>61.9</v>
      </c>
      <c r="J363">
        <v>89.7</v>
      </c>
      <c r="K363" t="str">
        <f>IF(COUNTIFS($A$2:A363, A363, $C$2:C363, C363)&gt;1, "Duplicate", "Unique")</f>
        <v>Duplicate</v>
      </c>
      <c r="L363" t="str">
        <f t="shared" si="16"/>
        <v>Normal</v>
      </c>
      <c r="M363" t="str">
        <f t="shared" si="17"/>
        <v>Normal</v>
      </c>
      <c r="N363" s="55"/>
    </row>
    <row r="364" spans="1:14" x14ac:dyDescent="0.3">
      <c r="A364" t="s">
        <v>29</v>
      </c>
      <c r="B364" t="s">
        <v>30</v>
      </c>
      <c r="C364" s="2">
        <v>46052</v>
      </c>
      <c r="D364">
        <v>304.60000000000002</v>
      </c>
      <c r="E364">
        <v>81.2</v>
      </c>
      <c r="F364" s="8">
        <f t="shared" si="15"/>
        <v>3.7512315270935961</v>
      </c>
      <c r="G364">
        <v>2.9</v>
      </c>
      <c r="H364">
        <v>5</v>
      </c>
      <c r="I364">
        <v>60.5</v>
      </c>
      <c r="J364">
        <v>95.8</v>
      </c>
      <c r="K364" t="str">
        <f>IF(COUNTIFS($A$2:A364, A364, $C$2:C364, C364)&gt;1, "Duplicate", "Unique")</f>
        <v>Unique</v>
      </c>
      <c r="L364" t="str">
        <f t="shared" si="16"/>
        <v>Normal</v>
      </c>
      <c r="M364" t="str">
        <f t="shared" si="17"/>
        <v>Normal</v>
      </c>
      <c r="N364" s="55"/>
    </row>
    <row r="365" spans="1:14" x14ac:dyDescent="0.3">
      <c r="A365" t="s">
        <v>29</v>
      </c>
      <c r="B365" t="s">
        <v>30</v>
      </c>
      <c r="C365" s="2">
        <v>46081</v>
      </c>
      <c r="D365">
        <v>267.10000000000002</v>
      </c>
      <c r="E365">
        <v>67.400000000000006</v>
      </c>
      <c r="F365" s="8">
        <f t="shared" si="15"/>
        <v>3.9629080118694362</v>
      </c>
      <c r="H365">
        <v>2</v>
      </c>
      <c r="I365">
        <v>68.400000000000006</v>
      </c>
      <c r="J365">
        <v>94.8</v>
      </c>
      <c r="K365" t="str">
        <f>IF(COUNTIFS($A$2:A365, A365, $C$2:C365, C365)&gt;1, "Duplicate", "Unique")</f>
        <v>Duplicate</v>
      </c>
      <c r="L365" t="str">
        <f t="shared" si="16"/>
        <v>Normal</v>
      </c>
      <c r="M365" t="str">
        <f t="shared" si="17"/>
        <v>Normal</v>
      </c>
      <c r="N365" s="55"/>
    </row>
    <row r="366" spans="1:14" x14ac:dyDescent="0.3">
      <c r="A366" t="s">
        <v>29</v>
      </c>
      <c r="B366" t="s">
        <v>30</v>
      </c>
      <c r="C366" s="2">
        <v>46099</v>
      </c>
      <c r="D366">
        <v>195.6</v>
      </c>
      <c r="E366">
        <v>63.5</v>
      </c>
      <c r="F366" s="8">
        <f t="shared" si="15"/>
        <v>3.0803149606299214</v>
      </c>
      <c r="G366">
        <v>2.4</v>
      </c>
      <c r="H366">
        <v>3</v>
      </c>
      <c r="I366">
        <v>59.6</v>
      </c>
      <c r="J366">
        <v>88.4</v>
      </c>
      <c r="K366" t="str">
        <f>IF(COUNTIFS($A$2:A366, A366, $C$2:C366, C366)&gt;1, "Duplicate", "Unique")</f>
        <v>Unique</v>
      </c>
      <c r="L366" t="str">
        <f t="shared" si="16"/>
        <v>Normal</v>
      </c>
      <c r="M366" t="str">
        <f t="shared" si="17"/>
        <v>Normal</v>
      </c>
      <c r="N366" s="55"/>
    </row>
    <row r="367" spans="1:14" x14ac:dyDescent="0.3">
      <c r="A367" t="s">
        <v>29</v>
      </c>
      <c r="B367" t="s">
        <v>30</v>
      </c>
      <c r="C367" s="2">
        <v>46066</v>
      </c>
      <c r="D367">
        <v>209.9</v>
      </c>
      <c r="E367">
        <v>63.8</v>
      </c>
      <c r="F367" s="8">
        <f t="shared" si="15"/>
        <v>3.2899686520376177</v>
      </c>
      <c r="G367">
        <v>0.8</v>
      </c>
      <c r="H367">
        <v>7</v>
      </c>
      <c r="I367">
        <v>33.1</v>
      </c>
      <c r="J367">
        <v>96.1</v>
      </c>
      <c r="K367" t="str">
        <f>IF(COUNTIFS($A$2:A367, A367, $C$2:C367, C367)&gt;1, "Duplicate", "Unique")</f>
        <v>Unique</v>
      </c>
      <c r="L367" t="str">
        <f t="shared" si="16"/>
        <v>Normal</v>
      </c>
      <c r="M367" t="str">
        <f t="shared" si="17"/>
        <v>Normal</v>
      </c>
      <c r="N367" s="55"/>
    </row>
    <row r="368" spans="1:14" x14ac:dyDescent="0.3">
      <c r="A368" t="s">
        <v>29</v>
      </c>
      <c r="B368" t="s">
        <v>30</v>
      </c>
      <c r="C368" s="2">
        <v>46073</v>
      </c>
      <c r="D368">
        <v>449.9</v>
      </c>
      <c r="E368">
        <v>94.9</v>
      </c>
      <c r="F368" s="8">
        <f t="shared" si="15"/>
        <v>4.7407797681770276</v>
      </c>
      <c r="G368">
        <v>2.5</v>
      </c>
      <c r="H368">
        <v>7</v>
      </c>
      <c r="I368">
        <v>67.099999999999994</v>
      </c>
      <c r="J368">
        <v>86.1</v>
      </c>
      <c r="K368" t="str">
        <f>IF(COUNTIFS($A$2:A368, A368, $C$2:C368, C368)&gt;1, "Duplicate", "Unique")</f>
        <v>Unique</v>
      </c>
      <c r="L368" t="str">
        <f t="shared" si="16"/>
        <v>Normal</v>
      </c>
      <c r="M368" t="str">
        <f t="shared" si="17"/>
        <v>Normal</v>
      </c>
      <c r="N368" s="55"/>
    </row>
    <row r="369" spans="1:14" x14ac:dyDescent="0.3">
      <c r="A369" t="s">
        <v>29</v>
      </c>
      <c r="B369" t="s">
        <v>30</v>
      </c>
      <c r="C369" s="2">
        <v>46044</v>
      </c>
      <c r="D369">
        <v>139.9</v>
      </c>
      <c r="E369">
        <v>26.3</v>
      </c>
      <c r="F369" s="8">
        <f t="shared" si="15"/>
        <v>5.3193916349809891</v>
      </c>
      <c r="G369">
        <v>1.2</v>
      </c>
      <c r="H369">
        <v>5</v>
      </c>
      <c r="I369">
        <v>68.099999999999994</v>
      </c>
      <c r="J369">
        <v>88.8</v>
      </c>
      <c r="K369" t="str">
        <f>IF(COUNTIFS($A$2:A369, A369, $C$2:C369, C369)&gt;1, "Duplicate", "Unique")</f>
        <v>Unique</v>
      </c>
      <c r="L369" t="str">
        <f t="shared" si="16"/>
        <v>Normal</v>
      </c>
      <c r="M369" t="str">
        <f t="shared" si="17"/>
        <v>Normal</v>
      </c>
      <c r="N369" s="55"/>
    </row>
    <row r="370" spans="1:14" x14ac:dyDescent="0.3">
      <c r="A370" t="s">
        <v>29</v>
      </c>
      <c r="B370" t="s">
        <v>30</v>
      </c>
      <c r="C370" s="2">
        <v>46064</v>
      </c>
      <c r="D370">
        <v>185.6</v>
      </c>
      <c r="E370">
        <v>62.7</v>
      </c>
      <c r="F370" s="8">
        <f t="shared" si="15"/>
        <v>2.9601275917065388</v>
      </c>
      <c r="G370">
        <v>3.5</v>
      </c>
      <c r="H370">
        <v>4</v>
      </c>
      <c r="I370">
        <v>54.1</v>
      </c>
      <c r="J370">
        <v>95.8</v>
      </c>
      <c r="K370" t="str">
        <f>IF(COUNTIFS($A$2:A370, A370, $C$2:C370, C370)&gt;1, "Duplicate", "Unique")</f>
        <v>Unique</v>
      </c>
      <c r="L370" t="str">
        <f t="shared" si="16"/>
        <v>Normal</v>
      </c>
      <c r="M370" t="str">
        <f t="shared" si="17"/>
        <v>Suspiciously Low Efficiency</v>
      </c>
      <c r="N370" s="55"/>
    </row>
    <row r="371" spans="1:14" x14ac:dyDescent="0.3">
      <c r="A371" t="s">
        <v>29</v>
      </c>
      <c r="B371" t="s">
        <v>30</v>
      </c>
      <c r="C371" s="2">
        <v>46071</v>
      </c>
      <c r="D371">
        <v>148</v>
      </c>
      <c r="E371">
        <v>34.799999999999997</v>
      </c>
      <c r="F371" s="8">
        <f t="shared" si="15"/>
        <v>4.2528735632183912</v>
      </c>
      <c r="G371">
        <v>1.2</v>
      </c>
      <c r="H371">
        <v>4</v>
      </c>
      <c r="I371">
        <v>43.5</v>
      </c>
      <c r="J371">
        <v>95.6</v>
      </c>
      <c r="K371" t="str">
        <f>IF(COUNTIFS($A$2:A371, A371, $C$2:C371, C371)&gt;1, "Duplicate", "Unique")</f>
        <v>Unique</v>
      </c>
      <c r="L371" t="str">
        <f t="shared" si="16"/>
        <v>Normal</v>
      </c>
      <c r="M371" t="str">
        <f t="shared" si="17"/>
        <v>Normal</v>
      </c>
      <c r="N371" s="55"/>
    </row>
    <row r="372" spans="1:14" x14ac:dyDescent="0.3">
      <c r="A372" t="s">
        <v>29</v>
      </c>
      <c r="B372" t="s">
        <v>30</v>
      </c>
      <c r="C372" s="2">
        <v>46053</v>
      </c>
      <c r="D372">
        <v>173.5</v>
      </c>
      <c r="E372">
        <v>53.9</v>
      </c>
      <c r="F372" s="8">
        <f t="shared" si="15"/>
        <v>3.2189239332096475</v>
      </c>
      <c r="G372">
        <v>2</v>
      </c>
      <c r="H372">
        <v>7</v>
      </c>
      <c r="I372">
        <v>33.299999999999997</v>
      </c>
      <c r="J372">
        <v>99.9</v>
      </c>
      <c r="K372" t="str">
        <f>IF(COUNTIFS($A$2:A372, A372, $C$2:C372, C372)&gt;1, "Duplicate", "Unique")</f>
        <v>Duplicate</v>
      </c>
      <c r="L372" t="str">
        <f t="shared" si="16"/>
        <v>Normal</v>
      </c>
      <c r="M372" t="str">
        <f t="shared" si="17"/>
        <v>Normal</v>
      </c>
      <c r="N372" s="55"/>
    </row>
    <row r="373" spans="1:14" x14ac:dyDescent="0.3">
      <c r="A373" t="s">
        <v>29</v>
      </c>
      <c r="B373" t="s">
        <v>30</v>
      </c>
      <c r="C373" s="2">
        <v>46101</v>
      </c>
      <c r="D373">
        <v>298.39999999999998</v>
      </c>
      <c r="E373">
        <v>64.7</v>
      </c>
      <c r="F373" s="8">
        <f t="shared" si="15"/>
        <v>4.6120556414219465</v>
      </c>
      <c r="H373">
        <v>4</v>
      </c>
      <c r="I373">
        <v>43.7</v>
      </c>
      <c r="J373">
        <v>87.7</v>
      </c>
      <c r="K373" t="str">
        <f>IF(COUNTIFS($A$2:A373, A373, $C$2:C373, C373)&gt;1, "Duplicate", "Unique")</f>
        <v>Unique</v>
      </c>
      <c r="L373" t="str">
        <f t="shared" si="16"/>
        <v>Normal</v>
      </c>
      <c r="M373" t="str">
        <f t="shared" si="17"/>
        <v>Normal</v>
      </c>
      <c r="N373" s="55"/>
    </row>
    <row r="374" spans="1:14" x14ac:dyDescent="0.3">
      <c r="A374" t="s">
        <v>29</v>
      </c>
      <c r="B374" t="s">
        <v>30</v>
      </c>
      <c r="C374" s="2">
        <v>46096</v>
      </c>
      <c r="D374">
        <v>178.9</v>
      </c>
      <c r="E374">
        <v>35</v>
      </c>
      <c r="F374" s="8">
        <f t="shared" si="15"/>
        <v>5.1114285714285712</v>
      </c>
      <c r="G374">
        <v>4.4000000000000004</v>
      </c>
      <c r="H374">
        <v>2</v>
      </c>
      <c r="I374">
        <v>36.1</v>
      </c>
      <c r="J374">
        <v>96.3</v>
      </c>
      <c r="K374" t="str">
        <f>IF(COUNTIFS($A$2:A374, A374, $C$2:C374, C374)&gt;1, "Duplicate", "Unique")</f>
        <v>Unique</v>
      </c>
      <c r="L374" t="str">
        <f t="shared" si="16"/>
        <v>Normal</v>
      </c>
      <c r="M374" t="str">
        <f t="shared" si="17"/>
        <v>Normal</v>
      </c>
      <c r="N374" s="55"/>
    </row>
    <row r="375" spans="1:14" x14ac:dyDescent="0.3">
      <c r="A375" t="s">
        <v>29</v>
      </c>
      <c r="B375" t="s">
        <v>30</v>
      </c>
      <c r="C375" s="2">
        <v>46040</v>
      </c>
      <c r="D375">
        <v>221.6</v>
      </c>
      <c r="E375">
        <v>44.4</v>
      </c>
      <c r="F375" s="8">
        <f t="shared" si="15"/>
        <v>4.9909909909909906</v>
      </c>
      <c r="G375">
        <v>4</v>
      </c>
      <c r="H375">
        <v>3</v>
      </c>
      <c r="I375">
        <v>33.1</v>
      </c>
      <c r="J375">
        <v>93.4</v>
      </c>
      <c r="K375" t="str">
        <f>IF(COUNTIFS($A$2:A375, A375, $C$2:C375, C375)&gt;1, "Duplicate", "Unique")</f>
        <v>Unique</v>
      </c>
      <c r="L375" t="str">
        <f t="shared" si="16"/>
        <v>Normal</v>
      </c>
      <c r="M375" t="str">
        <f t="shared" si="17"/>
        <v>Normal</v>
      </c>
      <c r="N375" s="55"/>
    </row>
    <row r="376" spans="1:14" x14ac:dyDescent="0.3">
      <c r="A376" t="s">
        <v>29</v>
      </c>
      <c r="B376" t="s">
        <v>30</v>
      </c>
      <c r="C376" s="2">
        <v>46049</v>
      </c>
      <c r="D376">
        <v>271.60000000000002</v>
      </c>
      <c r="E376">
        <v>65</v>
      </c>
      <c r="F376" s="8">
        <f t="shared" si="15"/>
        <v>4.1784615384615389</v>
      </c>
      <c r="G376">
        <v>3.4</v>
      </c>
      <c r="H376">
        <v>5</v>
      </c>
      <c r="I376">
        <v>59.1</v>
      </c>
      <c r="J376">
        <v>96.8</v>
      </c>
      <c r="K376" t="str">
        <f>IF(COUNTIFS($A$2:A376, A376, $C$2:C376, C376)&gt;1, "Duplicate", "Unique")</f>
        <v>Unique</v>
      </c>
      <c r="L376" t="str">
        <f t="shared" si="16"/>
        <v>Normal</v>
      </c>
      <c r="M376" t="str">
        <f t="shared" si="17"/>
        <v>Normal</v>
      </c>
      <c r="N376" s="55"/>
    </row>
    <row r="377" spans="1:14" x14ac:dyDescent="0.3">
      <c r="A377" t="s">
        <v>29</v>
      </c>
      <c r="B377" t="s">
        <v>30</v>
      </c>
      <c r="C377" s="2">
        <v>46036</v>
      </c>
      <c r="D377">
        <v>155.9</v>
      </c>
      <c r="E377">
        <v>28.6</v>
      </c>
      <c r="F377" s="8">
        <f t="shared" si="15"/>
        <v>5.4510489510489508</v>
      </c>
      <c r="G377">
        <v>2</v>
      </c>
      <c r="H377">
        <v>1</v>
      </c>
      <c r="I377">
        <v>73.8</v>
      </c>
      <c r="J377">
        <v>87.1</v>
      </c>
      <c r="K377" t="str">
        <f>IF(COUNTIFS($A$2:A377, A377, $C$2:C377, C377)&gt;1, "Duplicate", "Unique")</f>
        <v>Unique</v>
      </c>
      <c r="L377" t="str">
        <f t="shared" si="16"/>
        <v>Normal</v>
      </c>
      <c r="M377" t="str">
        <f t="shared" si="17"/>
        <v>Normal</v>
      </c>
      <c r="N377" s="55"/>
    </row>
    <row r="378" spans="1:14" x14ac:dyDescent="0.3">
      <c r="A378" t="s">
        <v>29</v>
      </c>
      <c r="B378" t="s">
        <v>30</v>
      </c>
      <c r="C378" s="2">
        <v>46062</v>
      </c>
      <c r="D378">
        <v>183.7</v>
      </c>
      <c r="E378">
        <v>44.5</v>
      </c>
      <c r="F378" s="8">
        <f t="shared" si="15"/>
        <v>4.1280898876404493</v>
      </c>
      <c r="G378">
        <v>3.2</v>
      </c>
      <c r="H378">
        <v>2</v>
      </c>
      <c r="I378">
        <v>73.8</v>
      </c>
      <c r="J378">
        <v>88.4</v>
      </c>
      <c r="K378" t="str">
        <f>IF(COUNTIFS($A$2:A378, A378, $C$2:C378, C378)&gt;1, "Duplicate", "Unique")</f>
        <v>Unique</v>
      </c>
      <c r="L378" t="str">
        <f t="shared" si="16"/>
        <v>Normal</v>
      </c>
      <c r="M378" t="str">
        <f t="shared" si="17"/>
        <v>Normal</v>
      </c>
      <c r="N378" s="55"/>
    </row>
    <row r="379" spans="1:14" x14ac:dyDescent="0.3">
      <c r="A379" t="s">
        <v>29</v>
      </c>
      <c r="B379" t="s">
        <v>30</v>
      </c>
      <c r="C379" s="2">
        <v>46079</v>
      </c>
      <c r="D379">
        <v>366.4</v>
      </c>
      <c r="E379">
        <v>99.9</v>
      </c>
      <c r="F379" s="8">
        <f t="shared" si="15"/>
        <v>3.6676676676676672</v>
      </c>
      <c r="G379">
        <v>3.3</v>
      </c>
      <c r="H379">
        <v>2</v>
      </c>
      <c r="I379">
        <v>38.5</v>
      </c>
      <c r="J379">
        <v>88.2</v>
      </c>
      <c r="K379" t="str">
        <f>IF(COUNTIFS($A$2:A379, A379, $C$2:C379, C379)&gt;1, "Duplicate", "Unique")</f>
        <v>Duplicate</v>
      </c>
      <c r="L379" t="str">
        <f t="shared" si="16"/>
        <v>Normal</v>
      </c>
      <c r="M379" t="str">
        <f t="shared" si="17"/>
        <v>Normal</v>
      </c>
      <c r="N379" s="55"/>
    </row>
    <row r="380" spans="1:14" x14ac:dyDescent="0.3">
      <c r="A380" t="s">
        <v>29</v>
      </c>
      <c r="B380" t="s">
        <v>30</v>
      </c>
      <c r="C380" s="2">
        <v>46026</v>
      </c>
      <c r="D380">
        <v>223</v>
      </c>
      <c r="E380">
        <v>68.8</v>
      </c>
      <c r="F380" s="8">
        <f t="shared" si="15"/>
        <v>3.2412790697674421</v>
      </c>
      <c r="G380">
        <v>2.7</v>
      </c>
      <c r="H380">
        <v>4</v>
      </c>
      <c r="I380">
        <v>68.599999999999994</v>
      </c>
      <c r="J380">
        <v>94.7</v>
      </c>
      <c r="K380" t="str">
        <f>IF(COUNTIFS($A$2:A380, A380, $C$2:C380, C380)&gt;1, "Duplicate", "Unique")</f>
        <v>Unique</v>
      </c>
      <c r="L380" t="str">
        <f t="shared" si="16"/>
        <v>Normal</v>
      </c>
      <c r="M380" t="str">
        <f t="shared" si="17"/>
        <v>Normal</v>
      </c>
      <c r="N380" s="55"/>
    </row>
    <row r="381" spans="1:14" x14ac:dyDescent="0.3">
      <c r="A381" t="s">
        <v>29</v>
      </c>
      <c r="B381" t="s">
        <v>30</v>
      </c>
      <c r="C381" s="2">
        <v>46061</v>
      </c>
      <c r="D381">
        <v>333.2</v>
      </c>
      <c r="E381">
        <v>81.3</v>
      </c>
      <c r="F381" s="8">
        <f t="shared" si="15"/>
        <v>4.0984009840098405</v>
      </c>
      <c r="G381">
        <v>1.6</v>
      </c>
      <c r="H381">
        <v>5</v>
      </c>
      <c r="I381">
        <v>58.8</v>
      </c>
      <c r="J381">
        <v>97.9</v>
      </c>
      <c r="K381" t="str">
        <f>IF(COUNTIFS($A$2:A381, A381, $C$2:C381, C381)&gt;1, "Duplicate", "Unique")</f>
        <v>Unique</v>
      </c>
      <c r="L381" t="str">
        <f t="shared" si="16"/>
        <v>Normal</v>
      </c>
      <c r="M381" t="str">
        <f t="shared" si="17"/>
        <v>Normal</v>
      </c>
      <c r="N381" s="55"/>
    </row>
    <row r="382" spans="1:14" x14ac:dyDescent="0.3">
      <c r="A382" t="s">
        <v>29</v>
      </c>
      <c r="B382" t="s">
        <v>30</v>
      </c>
      <c r="C382" s="2">
        <v>46037</v>
      </c>
      <c r="D382">
        <v>370.4</v>
      </c>
      <c r="E382">
        <v>89.4</v>
      </c>
      <c r="F382" s="8">
        <f t="shared" si="15"/>
        <v>4.1431767337807601</v>
      </c>
      <c r="G382">
        <v>2.8</v>
      </c>
      <c r="H382">
        <v>5</v>
      </c>
      <c r="I382">
        <v>67.400000000000006</v>
      </c>
      <c r="J382">
        <v>99.6</v>
      </c>
      <c r="K382" t="str">
        <f>IF(COUNTIFS($A$2:A382, A382, $C$2:C382, C382)&gt;1, "Duplicate", "Unique")</f>
        <v>Unique</v>
      </c>
      <c r="L382" t="str">
        <f t="shared" si="16"/>
        <v>Normal</v>
      </c>
      <c r="M382" t="str">
        <f t="shared" si="17"/>
        <v>Normal</v>
      </c>
      <c r="N382" s="55"/>
    </row>
    <row r="383" spans="1:14" x14ac:dyDescent="0.3">
      <c r="A383" t="s">
        <v>29</v>
      </c>
      <c r="B383" t="s">
        <v>30</v>
      </c>
      <c r="C383" s="2">
        <v>46110</v>
      </c>
      <c r="D383">
        <v>207.8</v>
      </c>
      <c r="E383">
        <v>45</v>
      </c>
      <c r="F383" s="8">
        <f t="shared" si="15"/>
        <v>4.6177777777777784</v>
      </c>
      <c r="G383">
        <v>4.4000000000000004</v>
      </c>
      <c r="H383">
        <v>3</v>
      </c>
      <c r="I383">
        <v>52.7</v>
      </c>
      <c r="J383">
        <v>95.4</v>
      </c>
      <c r="K383" t="str">
        <f>IF(COUNTIFS($A$2:A383, A383, $C$2:C383, C383)&gt;1, "Duplicate", "Unique")</f>
        <v>Unique</v>
      </c>
      <c r="L383" t="str">
        <f t="shared" si="16"/>
        <v>Normal</v>
      </c>
      <c r="M383" t="str">
        <f t="shared" si="17"/>
        <v>Normal</v>
      </c>
      <c r="N383" s="55"/>
    </row>
    <row r="384" spans="1:14" x14ac:dyDescent="0.3">
      <c r="A384" t="s">
        <v>29</v>
      </c>
      <c r="B384" t="s">
        <v>30</v>
      </c>
      <c r="C384" s="2">
        <v>46049</v>
      </c>
      <c r="D384">
        <v>358.8</v>
      </c>
      <c r="E384">
        <v>124.3</v>
      </c>
      <c r="F384" s="8">
        <f t="shared" si="15"/>
        <v>2.8865647626709574</v>
      </c>
      <c r="G384">
        <v>3.7</v>
      </c>
      <c r="H384">
        <v>2</v>
      </c>
      <c r="I384">
        <v>57.7</v>
      </c>
      <c r="J384">
        <v>95.1</v>
      </c>
      <c r="K384" t="str">
        <f>IF(COUNTIFS($A$2:A384, A384, $C$2:C384, C384)&gt;1, "Duplicate", "Unique")</f>
        <v>Duplicate</v>
      </c>
      <c r="L384" t="str">
        <f t="shared" si="16"/>
        <v>Normal</v>
      </c>
      <c r="M384" t="str">
        <f t="shared" si="17"/>
        <v>Suspiciously Low Efficiency</v>
      </c>
      <c r="N384" s="55"/>
    </row>
    <row r="385" spans="1:14" x14ac:dyDescent="0.3">
      <c r="A385" t="s">
        <v>29</v>
      </c>
      <c r="B385" t="s">
        <v>30</v>
      </c>
      <c r="C385" s="2">
        <v>46040</v>
      </c>
      <c r="D385">
        <v>251.9</v>
      </c>
      <c r="E385">
        <v>60.3</v>
      </c>
      <c r="F385" s="8">
        <f t="shared" si="15"/>
        <v>4.1774461028192373</v>
      </c>
      <c r="G385">
        <v>1.9</v>
      </c>
      <c r="H385">
        <v>1</v>
      </c>
      <c r="I385">
        <v>59.8</v>
      </c>
      <c r="J385">
        <v>97.7</v>
      </c>
      <c r="K385" t="str">
        <f>IF(COUNTIFS($A$2:A385, A385, $C$2:C385, C385)&gt;1, "Duplicate", "Unique")</f>
        <v>Duplicate</v>
      </c>
      <c r="L385" t="str">
        <f t="shared" si="16"/>
        <v>Normal</v>
      </c>
      <c r="M385" t="str">
        <f t="shared" si="17"/>
        <v>Normal</v>
      </c>
      <c r="N385" s="55"/>
    </row>
    <row r="386" spans="1:14" x14ac:dyDescent="0.3">
      <c r="A386" t="s">
        <v>29</v>
      </c>
      <c r="B386" t="s">
        <v>30</v>
      </c>
      <c r="C386" s="2">
        <v>46064</v>
      </c>
      <c r="D386">
        <v>138.69999999999999</v>
      </c>
      <c r="E386">
        <v>29.1</v>
      </c>
      <c r="F386" s="8">
        <f t="shared" si="15"/>
        <v>4.7663230240549819</v>
      </c>
      <c r="G386">
        <v>3.4</v>
      </c>
      <c r="H386">
        <v>2</v>
      </c>
      <c r="I386">
        <v>41.4</v>
      </c>
      <c r="J386">
        <v>94.6</v>
      </c>
      <c r="K386" t="str">
        <f>IF(COUNTIFS($A$2:A386, A386, $C$2:C386, C386)&gt;1, "Duplicate", "Unique")</f>
        <v>Duplicate</v>
      </c>
      <c r="L386" t="str">
        <f t="shared" si="16"/>
        <v>Normal</v>
      </c>
      <c r="M386" t="str">
        <f t="shared" si="17"/>
        <v>Normal</v>
      </c>
      <c r="N386" s="55"/>
    </row>
    <row r="387" spans="1:14" x14ac:dyDescent="0.3">
      <c r="A387" t="s">
        <v>29</v>
      </c>
      <c r="B387" t="s">
        <v>30</v>
      </c>
      <c r="C387" s="2">
        <v>46056</v>
      </c>
      <c r="D387">
        <v>280.39999999999998</v>
      </c>
      <c r="E387">
        <v>69.599999999999994</v>
      </c>
      <c r="F387" s="8">
        <f t="shared" ref="F387:F450" si="18">IFERROR(D387/E387,0)</f>
        <v>4.0287356321839081</v>
      </c>
      <c r="G387">
        <v>3.5</v>
      </c>
      <c r="H387">
        <v>7</v>
      </c>
      <c r="I387">
        <v>63</v>
      </c>
      <c r="J387">
        <v>98.2</v>
      </c>
      <c r="K387" t="str">
        <f>IF(COUNTIFS($A$2:A387, A387, $C$2:C387, C387)&gt;1, "Duplicate", "Unique")</f>
        <v>Unique</v>
      </c>
      <c r="L387" t="str">
        <f t="shared" ref="L387:L450" si="19">IF(G387 &gt; (AVERAGE($G$2:$G$811) + (3 * _xlfn.STDEV.P($G$2:$G$811))), "Extreme Idle Outlier", "Normal")</f>
        <v>Normal</v>
      </c>
      <c r="M387" t="str">
        <f t="shared" ref="M387:M450" si="20">IFERROR(IF((D387 / E387) &lt; 3, "Suspiciously Low Efficiency", "Normal"),0)</f>
        <v>Normal</v>
      </c>
      <c r="N387" s="55"/>
    </row>
    <row r="388" spans="1:14" x14ac:dyDescent="0.3">
      <c r="A388" t="s">
        <v>29</v>
      </c>
      <c r="B388" t="s">
        <v>30</v>
      </c>
      <c r="C388" s="2">
        <v>46101</v>
      </c>
      <c r="D388">
        <v>324.5</v>
      </c>
      <c r="E388">
        <v>69.2</v>
      </c>
      <c r="F388" s="8">
        <f t="shared" si="18"/>
        <v>4.6893063583815024</v>
      </c>
      <c r="G388">
        <v>2.7</v>
      </c>
      <c r="H388">
        <v>3</v>
      </c>
      <c r="I388">
        <v>73.5</v>
      </c>
      <c r="J388">
        <v>96.2</v>
      </c>
      <c r="K388" t="str">
        <f>IF(COUNTIFS($A$2:A388, A388, $C$2:C388, C388)&gt;1, "Duplicate", "Unique")</f>
        <v>Duplicate</v>
      </c>
      <c r="L388" t="str">
        <f t="shared" si="19"/>
        <v>Normal</v>
      </c>
      <c r="M388" t="str">
        <f t="shared" si="20"/>
        <v>Normal</v>
      </c>
      <c r="N388" s="55"/>
    </row>
    <row r="389" spans="1:14" x14ac:dyDescent="0.3">
      <c r="A389" t="s">
        <v>29</v>
      </c>
      <c r="B389" t="s">
        <v>30</v>
      </c>
      <c r="C389" s="2">
        <v>46077</v>
      </c>
      <c r="D389">
        <v>305.3</v>
      </c>
      <c r="E389">
        <v>83.5</v>
      </c>
      <c r="F389" s="8">
        <f t="shared" si="18"/>
        <v>3.6562874251497006</v>
      </c>
      <c r="G389">
        <v>2.5</v>
      </c>
      <c r="H389">
        <v>6</v>
      </c>
      <c r="I389">
        <v>71.7</v>
      </c>
      <c r="J389">
        <v>94.2</v>
      </c>
      <c r="K389" t="str">
        <f>IF(COUNTIFS($A$2:A389, A389, $C$2:C389, C389)&gt;1, "Duplicate", "Unique")</f>
        <v>Unique</v>
      </c>
      <c r="L389" t="str">
        <f t="shared" si="19"/>
        <v>Normal</v>
      </c>
      <c r="M389" t="str">
        <f t="shared" si="20"/>
        <v>Normal</v>
      </c>
      <c r="N389" s="55"/>
    </row>
    <row r="390" spans="1:14" x14ac:dyDescent="0.3">
      <c r="A390" t="s">
        <v>29</v>
      </c>
      <c r="B390" t="s">
        <v>30</v>
      </c>
      <c r="C390" s="2">
        <v>46063</v>
      </c>
      <c r="D390">
        <v>342.6</v>
      </c>
      <c r="E390">
        <v>97</v>
      </c>
      <c r="F390" s="8">
        <f t="shared" si="18"/>
        <v>3.5319587628865983</v>
      </c>
      <c r="G390">
        <v>0.6</v>
      </c>
      <c r="H390">
        <v>4</v>
      </c>
      <c r="I390">
        <v>46.7</v>
      </c>
      <c r="J390">
        <v>97.4</v>
      </c>
      <c r="K390" t="str">
        <f>IF(COUNTIFS($A$2:A390, A390, $C$2:C390, C390)&gt;1, "Duplicate", "Unique")</f>
        <v>Unique</v>
      </c>
      <c r="L390" t="str">
        <f t="shared" si="19"/>
        <v>Normal</v>
      </c>
      <c r="M390" t="str">
        <f t="shared" si="20"/>
        <v>Normal</v>
      </c>
      <c r="N390" s="55"/>
    </row>
    <row r="391" spans="1:14" x14ac:dyDescent="0.3">
      <c r="A391" t="s">
        <v>29</v>
      </c>
      <c r="B391" t="s">
        <v>30</v>
      </c>
      <c r="C391" s="2">
        <v>46050</v>
      </c>
      <c r="D391">
        <v>274.3</v>
      </c>
      <c r="E391">
        <v>83.8</v>
      </c>
      <c r="F391" s="8">
        <f t="shared" si="18"/>
        <v>3.2732696897374702</v>
      </c>
      <c r="G391">
        <v>1.8</v>
      </c>
      <c r="H391">
        <v>1</v>
      </c>
      <c r="I391">
        <v>65</v>
      </c>
      <c r="J391">
        <v>98.7</v>
      </c>
      <c r="K391" t="str">
        <f>IF(COUNTIFS($A$2:A391, A391, $C$2:C391, C391)&gt;1, "Duplicate", "Unique")</f>
        <v>Unique</v>
      </c>
      <c r="L391" t="str">
        <f t="shared" si="19"/>
        <v>Normal</v>
      </c>
      <c r="M391" t="str">
        <f t="shared" si="20"/>
        <v>Normal</v>
      </c>
      <c r="N391" s="55"/>
    </row>
    <row r="392" spans="1:14" x14ac:dyDescent="0.3">
      <c r="A392" t="s">
        <v>29</v>
      </c>
      <c r="B392" t="s">
        <v>30</v>
      </c>
      <c r="C392" s="2">
        <v>46096</v>
      </c>
      <c r="D392">
        <v>170.6</v>
      </c>
      <c r="E392">
        <v>57</v>
      </c>
      <c r="F392" s="8">
        <f t="shared" si="18"/>
        <v>2.9929824561403509</v>
      </c>
      <c r="G392">
        <v>2.8</v>
      </c>
      <c r="H392">
        <v>6</v>
      </c>
      <c r="I392">
        <v>54.3</v>
      </c>
      <c r="J392">
        <v>85.8</v>
      </c>
      <c r="K392" t="str">
        <f>IF(COUNTIFS($A$2:A392, A392, $C$2:C392, C392)&gt;1, "Duplicate", "Unique")</f>
        <v>Duplicate</v>
      </c>
      <c r="L392" t="str">
        <f t="shared" si="19"/>
        <v>Normal</v>
      </c>
      <c r="M392" t="str">
        <f t="shared" si="20"/>
        <v>Suspiciously Low Efficiency</v>
      </c>
      <c r="N392" s="55"/>
    </row>
    <row r="393" spans="1:14" x14ac:dyDescent="0.3">
      <c r="A393" t="s">
        <v>29</v>
      </c>
      <c r="B393" t="s">
        <v>30</v>
      </c>
      <c r="C393" s="2">
        <v>46091</v>
      </c>
      <c r="D393">
        <v>250.6</v>
      </c>
      <c r="E393">
        <v>57</v>
      </c>
      <c r="F393" s="8">
        <f t="shared" si="18"/>
        <v>4.3964912280701753</v>
      </c>
      <c r="G393">
        <v>1.2</v>
      </c>
      <c r="H393">
        <v>4</v>
      </c>
      <c r="I393">
        <v>54.7</v>
      </c>
      <c r="J393">
        <v>99.6</v>
      </c>
      <c r="K393" t="str">
        <f>IF(COUNTIFS($A$2:A393, A393, $C$2:C393, C393)&gt;1, "Duplicate", "Unique")</f>
        <v>Unique</v>
      </c>
      <c r="L393" t="str">
        <f t="shared" si="19"/>
        <v>Normal</v>
      </c>
      <c r="M393" t="str">
        <f t="shared" si="20"/>
        <v>Normal</v>
      </c>
      <c r="N393" s="55"/>
    </row>
    <row r="394" spans="1:14" x14ac:dyDescent="0.3">
      <c r="A394" t="s">
        <v>29</v>
      </c>
      <c r="B394" t="s">
        <v>30</v>
      </c>
      <c r="C394" s="2">
        <v>46102</v>
      </c>
      <c r="D394">
        <v>90.1</v>
      </c>
      <c r="E394">
        <v>21.9</v>
      </c>
      <c r="F394" s="8">
        <f t="shared" si="18"/>
        <v>4.1141552511415522</v>
      </c>
      <c r="H394">
        <v>2</v>
      </c>
      <c r="I394">
        <v>68.3</v>
      </c>
      <c r="J394">
        <v>89.2</v>
      </c>
      <c r="K394" t="str">
        <f>IF(COUNTIFS($A$2:A394, A394, $C$2:C394, C394)&gt;1, "Duplicate", "Unique")</f>
        <v>Unique</v>
      </c>
      <c r="L394" t="str">
        <f t="shared" si="19"/>
        <v>Normal</v>
      </c>
      <c r="M394" t="str">
        <f t="shared" si="20"/>
        <v>Normal</v>
      </c>
      <c r="N394" s="55"/>
    </row>
    <row r="395" spans="1:14" x14ac:dyDescent="0.3">
      <c r="A395" t="s">
        <v>29</v>
      </c>
      <c r="B395" t="s">
        <v>30</v>
      </c>
      <c r="C395" s="2">
        <v>46080</v>
      </c>
      <c r="D395">
        <v>221.3</v>
      </c>
      <c r="E395">
        <v>60.6</v>
      </c>
      <c r="F395" s="8">
        <f t="shared" si="18"/>
        <v>3.6518151815181521</v>
      </c>
      <c r="G395">
        <v>2.5</v>
      </c>
      <c r="H395">
        <v>1</v>
      </c>
      <c r="I395">
        <v>34.4</v>
      </c>
      <c r="J395">
        <v>93</v>
      </c>
      <c r="K395" t="str">
        <f>IF(COUNTIFS($A$2:A395, A395, $C$2:C395, C395)&gt;1, "Duplicate", "Unique")</f>
        <v>Unique</v>
      </c>
      <c r="L395" t="str">
        <f t="shared" si="19"/>
        <v>Normal</v>
      </c>
      <c r="M395" t="str">
        <f t="shared" si="20"/>
        <v>Normal</v>
      </c>
      <c r="N395" s="55"/>
    </row>
    <row r="396" spans="1:14" x14ac:dyDescent="0.3">
      <c r="A396" t="s">
        <v>29</v>
      </c>
      <c r="B396" t="s">
        <v>30</v>
      </c>
      <c r="C396" s="2">
        <v>46076</v>
      </c>
      <c r="D396">
        <v>438.7</v>
      </c>
      <c r="E396">
        <v>102.9</v>
      </c>
      <c r="F396" s="8">
        <f t="shared" si="18"/>
        <v>4.2633624878522838</v>
      </c>
      <c r="G396">
        <v>0.8</v>
      </c>
      <c r="H396">
        <v>6</v>
      </c>
      <c r="I396">
        <v>48.9</v>
      </c>
      <c r="J396">
        <v>96.1</v>
      </c>
      <c r="K396" t="str">
        <f>IF(COUNTIFS($A$2:A396, A396, $C$2:C396, C396)&gt;1, "Duplicate", "Unique")</f>
        <v>Unique</v>
      </c>
      <c r="L396" t="str">
        <f t="shared" si="19"/>
        <v>Normal</v>
      </c>
      <c r="M396" t="str">
        <f t="shared" si="20"/>
        <v>Normal</v>
      </c>
      <c r="N396" s="55"/>
    </row>
    <row r="397" spans="1:14" x14ac:dyDescent="0.3">
      <c r="A397" t="s">
        <v>29</v>
      </c>
      <c r="B397" t="s">
        <v>30</v>
      </c>
      <c r="C397" s="2">
        <v>46044</v>
      </c>
      <c r="D397">
        <v>372</v>
      </c>
      <c r="E397">
        <v>109</v>
      </c>
      <c r="F397" s="8">
        <f t="shared" si="18"/>
        <v>3.4128440366972477</v>
      </c>
      <c r="G397">
        <v>1.8</v>
      </c>
      <c r="H397">
        <v>5</v>
      </c>
      <c r="I397">
        <v>64.599999999999994</v>
      </c>
      <c r="J397">
        <v>85.7</v>
      </c>
      <c r="K397" t="str">
        <f>IF(COUNTIFS($A$2:A397, A397, $C$2:C397, C397)&gt;1, "Duplicate", "Unique")</f>
        <v>Duplicate</v>
      </c>
      <c r="L397" t="str">
        <f t="shared" si="19"/>
        <v>Normal</v>
      </c>
      <c r="M397" t="str">
        <f t="shared" si="20"/>
        <v>Normal</v>
      </c>
      <c r="N397" s="55"/>
    </row>
    <row r="398" spans="1:14" x14ac:dyDescent="0.3">
      <c r="A398" t="s">
        <v>29</v>
      </c>
      <c r="B398" t="s">
        <v>30</v>
      </c>
      <c r="C398" s="2">
        <v>46096</v>
      </c>
      <c r="D398">
        <v>326.7</v>
      </c>
      <c r="E398">
        <v>65.900000000000006</v>
      </c>
      <c r="F398" s="8">
        <f t="shared" si="18"/>
        <v>4.9575113808801206</v>
      </c>
      <c r="G398">
        <v>3.3</v>
      </c>
      <c r="H398">
        <v>8</v>
      </c>
      <c r="I398">
        <v>45.2</v>
      </c>
      <c r="J398">
        <v>86.7</v>
      </c>
      <c r="K398" t="str">
        <f>IF(COUNTIFS($A$2:A398, A398, $C$2:C398, C398)&gt;1, "Duplicate", "Unique")</f>
        <v>Duplicate</v>
      </c>
      <c r="L398" t="str">
        <f t="shared" si="19"/>
        <v>Normal</v>
      </c>
      <c r="M398" t="str">
        <f t="shared" si="20"/>
        <v>Normal</v>
      </c>
      <c r="N398" s="55"/>
    </row>
    <row r="399" spans="1:14" x14ac:dyDescent="0.3">
      <c r="A399" t="s">
        <v>29</v>
      </c>
      <c r="B399" t="s">
        <v>30</v>
      </c>
      <c r="C399" s="2">
        <v>46093</v>
      </c>
      <c r="D399">
        <v>261.5</v>
      </c>
      <c r="E399">
        <v>52.1</v>
      </c>
      <c r="F399" s="8">
        <f t="shared" si="18"/>
        <v>5.0191938579654511</v>
      </c>
      <c r="G399">
        <v>1.5</v>
      </c>
      <c r="H399">
        <v>5</v>
      </c>
      <c r="I399">
        <v>52.2</v>
      </c>
      <c r="J399">
        <v>96.1</v>
      </c>
      <c r="K399" t="str">
        <f>IF(COUNTIFS($A$2:A399, A399, $C$2:C399, C399)&gt;1, "Duplicate", "Unique")</f>
        <v>Unique</v>
      </c>
      <c r="L399" t="str">
        <f t="shared" si="19"/>
        <v>Normal</v>
      </c>
      <c r="M399" t="str">
        <f t="shared" si="20"/>
        <v>Normal</v>
      </c>
      <c r="N399" s="55"/>
    </row>
    <row r="400" spans="1:14" x14ac:dyDescent="0.3">
      <c r="A400" t="s">
        <v>29</v>
      </c>
      <c r="B400" t="s">
        <v>30</v>
      </c>
      <c r="C400" s="2">
        <v>46076</v>
      </c>
      <c r="D400">
        <v>146.4</v>
      </c>
      <c r="E400">
        <v>27.9</v>
      </c>
      <c r="F400" s="8">
        <f t="shared" si="18"/>
        <v>5.2473118279569899</v>
      </c>
      <c r="G400">
        <v>3</v>
      </c>
      <c r="H400">
        <v>1</v>
      </c>
      <c r="I400">
        <v>35.4</v>
      </c>
      <c r="J400">
        <v>89.2</v>
      </c>
      <c r="K400" t="str">
        <f>IF(COUNTIFS($A$2:A400, A400, $C$2:C400, C400)&gt;1, "Duplicate", "Unique")</f>
        <v>Duplicate</v>
      </c>
      <c r="L400" t="str">
        <f t="shared" si="19"/>
        <v>Normal</v>
      </c>
      <c r="M400" t="str">
        <f t="shared" si="20"/>
        <v>Normal</v>
      </c>
      <c r="N400" s="55"/>
    </row>
    <row r="401" spans="1:14" x14ac:dyDescent="0.3">
      <c r="A401" t="s">
        <v>23</v>
      </c>
      <c r="B401" t="s">
        <v>24</v>
      </c>
      <c r="C401" s="2">
        <v>46050</v>
      </c>
      <c r="D401">
        <v>322.5</v>
      </c>
      <c r="E401">
        <v>83.4</v>
      </c>
      <c r="F401" s="8">
        <f t="shared" si="18"/>
        <v>3.8669064748201438</v>
      </c>
      <c r="G401">
        <v>4.0999999999999996</v>
      </c>
      <c r="H401">
        <v>8</v>
      </c>
      <c r="I401">
        <v>36.4</v>
      </c>
      <c r="J401">
        <v>87.1</v>
      </c>
      <c r="K401" t="str">
        <f>IF(COUNTIFS($A$2:A401, A401, $C$2:C401, C401)&gt;1, "Duplicate", "Unique")</f>
        <v>Unique</v>
      </c>
      <c r="L401" t="str">
        <f t="shared" si="19"/>
        <v>Normal</v>
      </c>
      <c r="M401" t="str">
        <f t="shared" si="20"/>
        <v>Normal</v>
      </c>
      <c r="N401" s="55"/>
    </row>
    <row r="402" spans="1:14" x14ac:dyDescent="0.3">
      <c r="A402" t="s">
        <v>23</v>
      </c>
      <c r="B402" t="s">
        <v>24</v>
      </c>
      <c r="C402" s="2">
        <v>46049</v>
      </c>
      <c r="D402">
        <v>334.4</v>
      </c>
      <c r="E402">
        <v>65.5</v>
      </c>
      <c r="F402" s="8">
        <f t="shared" si="18"/>
        <v>5.1053435114503811</v>
      </c>
      <c r="G402">
        <v>2.4</v>
      </c>
      <c r="H402">
        <v>5</v>
      </c>
      <c r="I402">
        <v>70.7</v>
      </c>
      <c r="J402">
        <v>97.7</v>
      </c>
      <c r="K402" t="str">
        <f>IF(COUNTIFS($A$2:A402, A402, $C$2:C402, C402)&gt;1, "Duplicate", "Unique")</f>
        <v>Unique</v>
      </c>
      <c r="L402" t="str">
        <f t="shared" si="19"/>
        <v>Normal</v>
      </c>
      <c r="M402" t="str">
        <f t="shared" si="20"/>
        <v>Normal</v>
      </c>
      <c r="N402" s="55"/>
    </row>
    <row r="403" spans="1:14" x14ac:dyDescent="0.3">
      <c r="A403" t="s">
        <v>23</v>
      </c>
      <c r="B403" t="s">
        <v>24</v>
      </c>
      <c r="C403" s="2">
        <v>46102</v>
      </c>
      <c r="D403">
        <v>196.1</v>
      </c>
      <c r="E403">
        <v>38.5</v>
      </c>
      <c r="F403" s="8">
        <f t="shared" si="18"/>
        <v>5.0935064935064931</v>
      </c>
      <c r="G403">
        <v>3.3</v>
      </c>
      <c r="H403">
        <v>5</v>
      </c>
      <c r="I403">
        <v>52.8</v>
      </c>
      <c r="J403">
        <v>95</v>
      </c>
      <c r="K403" t="str">
        <f>IF(COUNTIFS($A$2:A403, A403, $C$2:C403, C403)&gt;1, "Duplicate", "Unique")</f>
        <v>Unique</v>
      </c>
      <c r="L403" t="str">
        <f t="shared" si="19"/>
        <v>Normal</v>
      </c>
      <c r="M403" t="str">
        <f t="shared" si="20"/>
        <v>Normal</v>
      </c>
      <c r="N403" s="55"/>
    </row>
    <row r="404" spans="1:14" x14ac:dyDescent="0.3">
      <c r="A404" t="s">
        <v>23</v>
      </c>
      <c r="B404" t="s">
        <v>24</v>
      </c>
      <c r="C404" s="2">
        <v>46074</v>
      </c>
      <c r="D404">
        <v>338</v>
      </c>
      <c r="E404">
        <v>78.7</v>
      </c>
      <c r="F404" s="8">
        <f t="shared" si="18"/>
        <v>4.2947903430749683</v>
      </c>
      <c r="G404">
        <v>1</v>
      </c>
      <c r="H404">
        <v>7</v>
      </c>
      <c r="I404">
        <v>60.5</v>
      </c>
      <c r="J404">
        <v>98.5</v>
      </c>
      <c r="K404" t="str">
        <f>IF(COUNTIFS($A$2:A404, A404, $C$2:C404, C404)&gt;1, "Duplicate", "Unique")</f>
        <v>Unique</v>
      </c>
      <c r="L404" t="str">
        <f t="shared" si="19"/>
        <v>Normal</v>
      </c>
      <c r="M404" t="str">
        <f t="shared" si="20"/>
        <v>Normal</v>
      </c>
      <c r="N404" s="55"/>
    </row>
    <row r="405" spans="1:14" x14ac:dyDescent="0.3">
      <c r="A405" t="s">
        <v>23</v>
      </c>
      <c r="B405" t="s">
        <v>24</v>
      </c>
      <c r="C405" s="2">
        <v>46024</v>
      </c>
      <c r="D405">
        <v>394.3</v>
      </c>
      <c r="E405">
        <v>78.5</v>
      </c>
      <c r="F405" s="8">
        <f t="shared" si="18"/>
        <v>5.0229299363057329</v>
      </c>
      <c r="G405">
        <v>0.7</v>
      </c>
      <c r="H405">
        <v>6</v>
      </c>
      <c r="I405">
        <v>58.6</v>
      </c>
      <c r="J405">
        <v>97.4</v>
      </c>
      <c r="K405" t="str">
        <f>IF(COUNTIFS($A$2:A405, A405, $C$2:C405, C405)&gt;1, "Duplicate", "Unique")</f>
        <v>Unique</v>
      </c>
      <c r="L405" t="str">
        <f t="shared" si="19"/>
        <v>Normal</v>
      </c>
      <c r="M405" t="str">
        <f t="shared" si="20"/>
        <v>Normal</v>
      </c>
      <c r="N405" s="55"/>
    </row>
    <row r="406" spans="1:14" x14ac:dyDescent="0.3">
      <c r="A406" t="s">
        <v>23</v>
      </c>
      <c r="B406" t="s">
        <v>24</v>
      </c>
      <c r="C406" s="2">
        <v>46038</v>
      </c>
      <c r="D406">
        <v>354.9</v>
      </c>
      <c r="E406">
        <v>66.099999999999994</v>
      </c>
      <c r="F406" s="8">
        <f t="shared" si="18"/>
        <v>5.3691376701966718</v>
      </c>
      <c r="G406">
        <v>3.2</v>
      </c>
      <c r="H406">
        <v>4</v>
      </c>
      <c r="I406">
        <v>39.700000000000003</v>
      </c>
      <c r="J406">
        <v>92.3</v>
      </c>
      <c r="K406" t="str">
        <f>IF(COUNTIFS($A$2:A406, A406, $C$2:C406, C406)&gt;1, "Duplicate", "Unique")</f>
        <v>Unique</v>
      </c>
      <c r="L406" t="str">
        <f t="shared" si="19"/>
        <v>Normal</v>
      </c>
      <c r="M406" t="str">
        <f t="shared" si="20"/>
        <v>Normal</v>
      </c>
      <c r="N406" s="55"/>
    </row>
    <row r="407" spans="1:14" x14ac:dyDescent="0.3">
      <c r="A407" t="s">
        <v>23</v>
      </c>
      <c r="B407" t="s">
        <v>24</v>
      </c>
      <c r="C407" s="2">
        <v>46037</v>
      </c>
      <c r="D407">
        <v>253.3</v>
      </c>
      <c r="E407">
        <v>84.3</v>
      </c>
      <c r="F407" s="8">
        <f t="shared" si="18"/>
        <v>3.0047449584816137</v>
      </c>
      <c r="G407">
        <v>3.4</v>
      </c>
      <c r="H407">
        <v>4</v>
      </c>
      <c r="I407">
        <v>68.7</v>
      </c>
      <c r="J407">
        <v>95.9</v>
      </c>
      <c r="K407" t="str">
        <f>IF(COUNTIFS($A$2:A407, A407, $C$2:C407, C407)&gt;1, "Duplicate", "Unique")</f>
        <v>Unique</v>
      </c>
      <c r="L407" t="str">
        <f t="shared" si="19"/>
        <v>Normal</v>
      </c>
      <c r="M407" t="str">
        <f t="shared" si="20"/>
        <v>Normal</v>
      </c>
      <c r="N407" s="55"/>
    </row>
    <row r="408" spans="1:14" x14ac:dyDescent="0.3">
      <c r="A408" t="s">
        <v>23</v>
      </c>
      <c r="B408" t="s">
        <v>24</v>
      </c>
      <c r="C408" s="2">
        <v>46077</v>
      </c>
      <c r="D408">
        <v>195.6</v>
      </c>
      <c r="E408">
        <v>56.1</v>
      </c>
      <c r="F408" s="8">
        <f t="shared" si="18"/>
        <v>3.4866310160427805</v>
      </c>
      <c r="G408">
        <v>4.3</v>
      </c>
      <c r="H408">
        <v>8</v>
      </c>
      <c r="I408">
        <v>33</v>
      </c>
      <c r="J408">
        <v>97.5</v>
      </c>
      <c r="K408" t="str">
        <f>IF(COUNTIFS($A$2:A408, A408, $C$2:C408, C408)&gt;1, "Duplicate", "Unique")</f>
        <v>Unique</v>
      </c>
      <c r="L408" t="str">
        <f t="shared" si="19"/>
        <v>Normal</v>
      </c>
      <c r="M408" t="str">
        <f t="shared" si="20"/>
        <v>Normal</v>
      </c>
      <c r="N408" s="55"/>
    </row>
    <row r="409" spans="1:14" x14ac:dyDescent="0.3">
      <c r="A409" t="s">
        <v>23</v>
      </c>
      <c r="B409" t="s">
        <v>24</v>
      </c>
      <c r="C409" s="2">
        <v>46108</v>
      </c>
      <c r="D409">
        <v>125.2</v>
      </c>
      <c r="E409">
        <v>33.299999999999997</v>
      </c>
      <c r="F409" s="8">
        <f t="shared" si="18"/>
        <v>3.7597597597597603</v>
      </c>
      <c r="G409">
        <v>3.1</v>
      </c>
      <c r="H409">
        <v>7</v>
      </c>
      <c r="I409">
        <v>69.099999999999994</v>
      </c>
      <c r="J409">
        <v>95.8</v>
      </c>
      <c r="K409" t="str">
        <f>IF(COUNTIFS($A$2:A409, A409, $C$2:C409, C409)&gt;1, "Duplicate", "Unique")</f>
        <v>Unique</v>
      </c>
      <c r="L409" t="str">
        <f t="shared" si="19"/>
        <v>Normal</v>
      </c>
      <c r="M409" t="str">
        <f t="shared" si="20"/>
        <v>Normal</v>
      </c>
      <c r="N409" s="55"/>
    </row>
    <row r="410" spans="1:14" x14ac:dyDescent="0.3">
      <c r="A410" t="s">
        <v>23</v>
      </c>
      <c r="B410" t="s">
        <v>24</v>
      </c>
      <c r="C410" s="2">
        <v>46095</v>
      </c>
      <c r="D410">
        <v>300.60000000000002</v>
      </c>
      <c r="E410">
        <v>58</v>
      </c>
      <c r="F410" s="8">
        <f t="shared" si="18"/>
        <v>5.1827586206896559</v>
      </c>
      <c r="G410">
        <v>0.9</v>
      </c>
      <c r="H410">
        <v>1</v>
      </c>
      <c r="I410">
        <v>60.3</v>
      </c>
      <c r="J410">
        <v>89.1</v>
      </c>
      <c r="K410" t="str">
        <f>IF(COUNTIFS($A$2:A410, A410, $C$2:C410, C410)&gt;1, "Duplicate", "Unique")</f>
        <v>Unique</v>
      </c>
      <c r="L410" t="str">
        <f t="shared" si="19"/>
        <v>Normal</v>
      </c>
      <c r="M410" t="str">
        <f t="shared" si="20"/>
        <v>Normal</v>
      </c>
      <c r="N410" s="55"/>
    </row>
    <row r="411" spans="1:14" x14ac:dyDescent="0.3">
      <c r="A411" t="s">
        <v>23</v>
      </c>
      <c r="B411" t="s">
        <v>24</v>
      </c>
      <c r="C411" s="2">
        <v>46051</v>
      </c>
      <c r="D411">
        <v>203.2</v>
      </c>
      <c r="E411">
        <v>62.4</v>
      </c>
      <c r="F411" s="8">
        <f t="shared" si="18"/>
        <v>3.2564102564102564</v>
      </c>
      <c r="G411">
        <v>2.4</v>
      </c>
      <c r="H411">
        <v>2</v>
      </c>
      <c r="I411">
        <v>53.9</v>
      </c>
      <c r="J411">
        <v>87.9</v>
      </c>
      <c r="K411" t="str">
        <f>IF(COUNTIFS($A$2:A411, A411, $C$2:C411, C411)&gt;1, "Duplicate", "Unique")</f>
        <v>Unique</v>
      </c>
      <c r="L411" t="str">
        <f t="shared" si="19"/>
        <v>Normal</v>
      </c>
      <c r="M411" t="str">
        <f t="shared" si="20"/>
        <v>Normal</v>
      </c>
      <c r="N411" s="55"/>
    </row>
    <row r="412" spans="1:14" x14ac:dyDescent="0.3">
      <c r="A412" t="s">
        <v>23</v>
      </c>
      <c r="B412" t="s">
        <v>24</v>
      </c>
      <c r="C412" s="2">
        <v>46033</v>
      </c>
      <c r="D412">
        <v>266.7</v>
      </c>
      <c r="E412">
        <v>81.7</v>
      </c>
      <c r="F412" s="8">
        <f t="shared" si="18"/>
        <v>3.2643818849449202</v>
      </c>
      <c r="G412">
        <v>1.3</v>
      </c>
      <c r="H412">
        <v>8</v>
      </c>
      <c r="I412">
        <v>74.599999999999994</v>
      </c>
      <c r="J412">
        <v>92.9</v>
      </c>
      <c r="K412" t="str">
        <f>IF(COUNTIFS($A$2:A412, A412, $C$2:C412, C412)&gt;1, "Duplicate", "Unique")</f>
        <v>Unique</v>
      </c>
      <c r="L412" t="str">
        <f t="shared" si="19"/>
        <v>Normal</v>
      </c>
      <c r="M412" t="str">
        <f t="shared" si="20"/>
        <v>Normal</v>
      </c>
      <c r="N412" s="55"/>
    </row>
    <row r="413" spans="1:14" x14ac:dyDescent="0.3">
      <c r="A413" t="s">
        <v>23</v>
      </c>
      <c r="B413" t="s">
        <v>24</v>
      </c>
      <c r="C413" s="2">
        <v>46031</v>
      </c>
      <c r="D413">
        <v>202</v>
      </c>
      <c r="E413">
        <v>46.9</v>
      </c>
      <c r="F413" s="8">
        <f t="shared" si="18"/>
        <v>4.3070362473347545</v>
      </c>
      <c r="G413">
        <v>1.9</v>
      </c>
      <c r="H413">
        <v>5</v>
      </c>
      <c r="I413">
        <v>62.6</v>
      </c>
      <c r="J413">
        <v>94.8</v>
      </c>
      <c r="K413" t="str">
        <f>IF(COUNTIFS($A$2:A413, A413, $C$2:C413, C413)&gt;1, "Duplicate", "Unique")</f>
        <v>Unique</v>
      </c>
      <c r="L413" t="str">
        <f t="shared" si="19"/>
        <v>Normal</v>
      </c>
      <c r="M413" t="str">
        <f t="shared" si="20"/>
        <v>Normal</v>
      </c>
      <c r="N413" s="55"/>
    </row>
    <row r="414" spans="1:14" x14ac:dyDescent="0.3">
      <c r="A414" t="s">
        <v>23</v>
      </c>
      <c r="B414" t="s">
        <v>24</v>
      </c>
      <c r="C414" s="2">
        <v>46108</v>
      </c>
      <c r="D414">
        <v>208.5</v>
      </c>
      <c r="E414">
        <v>70.099999999999994</v>
      </c>
      <c r="F414" s="8">
        <f t="shared" si="18"/>
        <v>2.9743223965763197</v>
      </c>
      <c r="G414">
        <v>2.5</v>
      </c>
      <c r="H414">
        <v>5</v>
      </c>
      <c r="I414">
        <v>68.3</v>
      </c>
      <c r="J414">
        <v>95.7</v>
      </c>
      <c r="K414" t="str">
        <f>IF(COUNTIFS($A$2:A414, A414, $C$2:C414, C414)&gt;1, "Duplicate", "Unique")</f>
        <v>Duplicate</v>
      </c>
      <c r="L414" t="str">
        <f t="shared" si="19"/>
        <v>Normal</v>
      </c>
      <c r="M414" t="str">
        <f t="shared" si="20"/>
        <v>Suspiciously Low Efficiency</v>
      </c>
      <c r="N414" s="55"/>
    </row>
    <row r="415" spans="1:14" x14ac:dyDescent="0.3">
      <c r="A415" t="s">
        <v>23</v>
      </c>
      <c r="B415" t="s">
        <v>24</v>
      </c>
      <c r="C415" s="2">
        <v>46105</v>
      </c>
      <c r="D415">
        <v>107.4</v>
      </c>
      <c r="E415">
        <v>26.5</v>
      </c>
      <c r="F415" s="8">
        <f t="shared" si="18"/>
        <v>4.0528301886792457</v>
      </c>
      <c r="G415">
        <v>2.4</v>
      </c>
      <c r="H415">
        <v>3</v>
      </c>
      <c r="I415">
        <v>69.5</v>
      </c>
      <c r="J415">
        <v>96.7</v>
      </c>
      <c r="K415" t="str">
        <f>IF(COUNTIFS($A$2:A415, A415, $C$2:C415, C415)&gt;1, "Duplicate", "Unique")</f>
        <v>Unique</v>
      </c>
      <c r="L415" t="str">
        <f t="shared" si="19"/>
        <v>Normal</v>
      </c>
      <c r="M415" t="str">
        <f t="shared" si="20"/>
        <v>Normal</v>
      </c>
      <c r="N415" s="55"/>
    </row>
    <row r="416" spans="1:14" x14ac:dyDescent="0.3">
      <c r="A416" t="s">
        <v>23</v>
      </c>
      <c r="B416" t="s">
        <v>24</v>
      </c>
      <c r="C416" s="2">
        <v>46089</v>
      </c>
      <c r="D416">
        <v>243.5</v>
      </c>
      <c r="E416">
        <v>52.5</v>
      </c>
      <c r="F416" s="8">
        <f t="shared" si="18"/>
        <v>4.6380952380952385</v>
      </c>
      <c r="G416">
        <v>3.3</v>
      </c>
      <c r="H416">
        <v>8</v>
      </c>
      <c r="I416">
        <v>34.1</v>
      </c>
      <c r="J416">
        <v>92.7</v>
      </c>
      <c r="K416" t="str">
        <f>IF(COUNTIFS($A$2:A416, A416, $C$2:C416, C416)&gt;1, "Duplicate", "Unique")</f>
        <v>Unique</v>
      </c>
      <c r="L416" t="str">
        <f t="shared" si="19"/>
        <v>Normal</v>
      </c>
      <c r="M416" t="str">
        <f t="shared" si="20"/>
        <v>Normal</v>
      </c>
      <c r="N416" s="55"/>
    </row>
    <row r="417" spans="1:14" x14ac:dyDescent="0.3">
      <c r="A417" t="s">
        <v>23</v>
      </c>
      <c r="B417" t="s">
        <v>24</v>
      </c>
      <c r="C417" s="2">
        <v>46105</v>
      </c>
      <c r="D417">
        <v>109.3</v>
      </c>
      <c r="E417">
        <v>27.2</v>
      </c>
      <c r="F417" s="8">
        <f t="shared" si="18"/>
        <v>4.0183823529411766</v>
      </c>
      <c r="G417">
        <v>1.8</v>
      </c>
      <c r="H417">
        <v>4</v>
      </c>
      <c r="I417">
        <v>32.299999999999997</v>
      </c>
      <c r="J417">
        <v>90.7</v>
      </c>
      <c r="K417" t="str">
        <f>IF(COUNTIFS($A$2:A417, A417, $C$2:C417, C417)&gt;1, "Duplicate", "Unique")</f>
        <v>Duplicate</v>
      </c>
      <c r="L417" t="str">
        <f t="shared" si="19"/>
        <v>Normal</v>
      </c>
      <c r="M417" t="str">
        <f t="shared" si="20"/>
        <v>Normal</v>
      </c>
      <c r="N417" s="55"/>
    </row>
    <row r="418" spans="1:14" x14ac:dyDescent="0.3">
      <c r="A418" t="s">
        <v>23</v>
      </c>
      <c r="B418" t="s">
        <v>24</v>
      </c>
      <c r="C418" s="2">
        <v>46061</v>
      </c>
      <c r="D418">
        <v>434.1</v>
      </c>
      <c r="E418">
        <v>152.80000000000001</v>
      </c>
      <c r="F418" s="8">
        <f t="shared" si="18"/>
        <v>2.8409685863874343</v>
      </c>
      <c r="G418">
        <v>4.2</v>
      </c>
      <c r="H418">
        <v>2</v>
      </c>
      <c r="I418">
        <v>63.6</v>
      </c>
      <c r="J418">
        <v>96.3</v>
      </c>
      <c r="K418" t="str">
        <f>IF(COUNTIFS($A$2:A418, A418, $C$2:C418, C418)&gt;1, "Duplicate", "Unique")</f>
        <v>Unique</v>
      </c>
      <c r="L418" t="str">
        <f t="shared" si="19"/>
        <v>Normal</v>
      </c>
      <c r="M418" t="str">
        <f t="shared" si="20"/>
        <v>Suspiciously Low Efficiency</v>
      </c>
      <c r="N418" s="55"/>
    </row>
    <row r="419" spans="1:14" x14ac:dyDescent="0.3">
      <c r="A419" t="s">
        <v>23</v>
      </c>
      <c r="B419" t="s">
        <v>24</v>
      </c>
      <c r="C419" s="2">
        <v>46060</v>
      </c>
      <c r="D419">
        <v>351.9</v>
      </c>
      <c r="E419">
        <v>78</v>
      </c>
      <c r="F419" s="8">
        <f t="shared" si="18"/>
        <v>4.5115384615384615</v>
      </c>
      <c r="G419">
        <v>4.4000000000000004</v>
      </c>
      <c r="H419">
        <v>4</v>
      </c>
      <c r="I419">
        <v>44.7</v>
      </c>
      <c r="J419">
        <v>89.2</v>
      </c>
      <c r="K419" t="str">
        <f>IF(COUNTIFS($A$2:A419, A419, $C$2:C419, C419)&gt;1, "Duplicate", "Unique")</f>
        <v>Unique</v>
      </c>
      <c r="L419" t="str">
        <f t="shared" si="19"/>
        <v>Normal</v>
      </c>
      <c r="M419" t="str">
        <f t="shared" si="20"/>
        <v>Normal</v>
      </c>
      <c r="N419" s="55"/>
    </row>
    <row r="420" spans="1:14" x14ac:dyDescent="0.3">
      <c r="A420" t="s">
        <v>23</v>
      </c>
      <c r="B420" t="s">
        <v>24</v>
      </c>
      <c r="C420" s="2">
        <v>46093</v>
      </c>
      <c r="D420">
        <v>293.8</v>
      </c>
      <c r="E420">
        <v>67.900000000000006</v>
      </c>
      <c r="F420" s="8">
        <f t="shared" si="18"/>
        <v>4.3269513991163473</v>
      </c>
      <c r="G420">
        <v>2.2999999999999998</v>
      </c>
      <c r="H420">
        <v>6</v>
      </c>
      <c r="I420">
        <v>70.2</v>
      </c>
      <c r="J420">
        <v>96.4</v>
      </c>
      <c r="K420" t="str">
        <f>IF(COUNTIFS($A$2:A420, A420, $C$2:C420, C420)&gt;1, "Duplicate", "Unique")</f>
        <v>Unique</v>
      </c>
      <c r="L420" t="str">
        <f t="shared" si="19"/>
        <v>Normal</v>
      </c>
      <c r="M420" t="str">
        <f t="shared" si="20"/>
        <v>Normal</v>
      </c>
      <c r="N420" s="55"/>
    </row>
    <row r="421" spans="1:14" x14ac:dyDescent="0.3">
      <c r="A421" t="s">
        <v>23</v>
      </c>
      <c r="B421" t="s">
        <v>24</v>
      </c>
      <c r="C421" s="2">
        <v>46073</v>
      </c>
      <c r="D421">
        <v>297</v>
      </c>
      <c r="E421">
        <v>61.1</v>
      </c>
      <c r="F421" s="8">
        <f t="shared" si="18"/>
        <v>4.8608837970540097</v>
      </c>
      <c r="G421">
        <v>3</v>
      </c>
      <c r="H421">
        <v>2</v>
      </c>
      <c r="I421">
        <v>44</v>
      </c>
      <c r="J421">
        <v>91.6</v>
      </c>
      <c r="K421" t="str">
        <f>IF(COUNTIFS($A$2:A421, A421, $C$2:C421, C421)&gt;1, "Duplicate", "Unique")</f>
        <v>Unique</v>
      </c>
      <c r="L421" t="str">
        <f t="shared" si="19"/>
        <v>Normal</v>
      </c>
      <c r="M421" t="str">
        <f t="shared" si="20"/>
        <v>Normal</v>
      </c>
      <c r="N421" s="55"/>
    </row>
    <row r="422" spans="1:14" x14ac:dyDescent="0.3">
      <c r="A422" t="s">
        <v>23</v>
      </c>
      <c r="B422" t="s">
        <v>24</v>
      </c>
      <c r="C422" s="2">
        <v>46057</v>
      </c>
      <c r="D422">
        <v>385.6</v>
      </c>
      <c r="E422">
        <v>88.8</v>
      </c>
      <c r="F422" s="8">
        <f t="shared" si="18"/>
        <v>4.3423423423423424</v>
      </c>
      <c r="G422">
        <v>0.7</v>
      </c>
      <c r="H422">
        <v>1</v>
      </c>
      <c r="I422">
        <v>38.1</v>
      </c>
      <c r="J422">
        <v>97.1</v>
      </c>
      <c r="K422" t="str">
        <f>IF(COUNTIFS($A$2:A422, A422, $C$2:C422, C422)&gt;1, "Duplicate", "Unique")</f>
        <v>Unique</v>
      </c>
      <c r="L422" t="str">
        <f t="shared" si="19"/>
        <v>Normal</v>
      </c>
      <c r="M422" t="str">
        <f t="shared" si="20"/>
        <v>Normal</v>
      </c>
      <c r="N422" s="55"/>
    </row>
    <row r="423" spans="1:14" x14ac:dyDescent="0.3">
      <c r="A423" t="s">
        <v>23</v>
      </c>
      <c r="B423" t="s">
        <v>24</v>
      </c>
      <c r="C423" s="2">
        <v>46080</v>
      </c>
      <c r="D423">
        <v>180.6</v>
      </c>
      <c r="E423">
        <v>60.2</v>
      </c>
      <c r="F423" s="8">
        <f t="shared" si="18"/>
        <v>2.9999999999999996</v>
      </c>
      <c r="G423">
        <v>1.1000000000000001</v>
      </c>
      <c r="H423">
        <v>2</v>
      </c>
      <c r="I423">
        <v>37</v>
      </c>
      <c r="J423">
        <v>87.5</v>
      </c>
      <c r="K423" t="str">
        <f>IF(COUNTIFS($A$2:A423, A423, $C$2:C423, C423)&gt;1, "Duplicate", "Unique")</f>
        <v>Unique</v>
      </c>
      <c r="L423" t="str">
        <f t="shared" si="19"/>
        <v>Normal</v>
      </c>
      <c r="M423" t="str">
        <f t="shared" si="20"/>
        <v>Normal</v>
      </c>
      <c r="N423" s="55"/>
    </row>
    <row r="424" spans="1:14" x14ac:dyDescent="0.3">
      <c r="A424" t="s">
        <v>23</v>
      </c>
      <c r="B424" t="s">
        <v>24</v>
      </c>
      <c r="C424" s="2">
        <v>46030</v>
      </c>
      <c r="D424">
        <v>88.1</v>
      </c>
      <c r="E424">
        <v>20.100000000000001</v>
      </c>
      <c r="F424" s="8">
        <f t="shared" si="18"/>
        <v>4.3830845771144276</v>
      </c>
      <c r="G424">
        <v>4.0999999999999996</v>
      </c>
      <c r="H424">
        <v>2</v>
      </c>
      <c r="I424">
        <v>68.099999999999994</v>
      </c>
      <c r="J424">
        <v>97.9</v>
      </c>
      <c r="K424" t="str">
        <f>IF(COUNTIFS($A$2:A424, A424, $C$2:C424, C424)&gt;1, "Duplicate", "Unique")</f>
        <v>Unique</v>
      </c>
      <c r="L424" t="str">
        <f t="shared" si="19"/>
        <v>Normal</v>
      </c>
      <c r="M424" t="str">
        <f t="shared" si="20"/>
        <v>Normal</v>
      </c>
      <c r="N424" s="55"/>
    </row>
    <row r="425" spans="1:14" x14ac:dyDescent="0.3">
      <c r="A425" t="s">
        <v>23</v>
      </c>
      <c r="B425" t="s">
        <v>24</v>
      </c>
      <c r="C425" s="2">
        <v>46044</v>
      </c>
      <c r="D425">
        <v>315.39999999999998</v>
      </c>
      <c r="E425">
        <v>58.4</v>
      </c>
      <c r="F425" s="8">
        <f t="shared" si="18"/>
        <v>5.4006849315068495</v>
      </c>
      <c r="G425">
        <v>3.7</v>
      </c>
      <c r="H425">
        <v>6</v>
      </c>
      <c r="I425">
        <v>50.1</v>
      </c>
      <c r="J425">
        <v>89</v>
      </c>
      <c r="K425" t="str">
        <f>IF(COUNTIFS($A$2:A425, A425, $C$2:C425, C425)&gt;1, "Duplicate", "Unique")</f>
        <v>Unique</v>
      </c>
      <c r="L425" t="str">
        <f t="shared" si="19"/>
        <v>Normal</v>
      </c>
      <c r="M425" t="str">
        <f t="shared" si="20"/>
        <v>Normal</v>
      </c>
      <c r="N425" s="55"/>
    </row>
    <row r="426" spans="1:14" x14ac:dyDescent="0.3">
      <c r="A426" t="s">
        <v>23</v>
      </c>
      <c r="B426" t="s">
        <v>24</v>
      </c>
      <c r="C426" s="2">
        <v>46111</v>
      </c>
      <c r="D426">
        <v>167.9</v>
      </c>
      <c r="E426">
        <v>34.9</v>
      </c>
      <c r="F426" s="8">
        <f t="shared" si="18"/>
        <v>4.8108882521489971</v>
      </c>
      <c r="G426">
        <v>4.2</v>
      </c>
      <c r="H426">
        <v>6</v>
      </c>
      <c r="I426">
        <v>30.9</v>
      </c>
      <c r="J426">
        <v>97.3</v>
      </c>
      <c r="K426" t="str">
        <f>IF(COUNTIFS($A$2:A426, A426, $C$2:C426, C426)&gt;1, "Duplicate", "Unique")</f>
        <v>Unique</v>
      </c>
      <c r="L426" t="str">
        <f t="shared" si="19"/>
        <v>Normal</v>
      </c>
      <c r="M426" t="str">
        <f t="shared" si="20"/>
        <v>Normal</v>
      </c>
      <c r="N426" s="55"/>
    </row>
    <row r="427" spans="1:14" x14ac:dyDescent="0.3">
      <c r="A427" t="s">
        <v>23</v>
      </c>
      <c r="B427" t="s">
        <v>24</v>
      </c>
      <c r="C427" s="2">
        <v>46089</v>
      </c>
      <c r="D427">
        <v>273.5</v>
      </c>
      <c r="E427">
        <v>58.3</v>
      </c>
      <c r="F427" s="8">
        <f t="shared" si="18"/>
        <v>4.6912521440823332</v>
      </c>
      <c r="G427">
        <v>0.6</v>
      </c>
      <c r="H427">
        <v>4</v>
      </c>
      <c r="I427">
        <v>51.7</v>
      </c>
      <c r="J427">
        <v>95</v>
      </c>
      <c r="K427" t="str">
        <f>IF(COUNTIFS($A$2:A427, A427, $C$2:C427, C427)&gt;1, "Duplicate", "Unique")</f>
        <v>Duplicate</v>
      </c>
      <c r="L427" t="str">
        <f t="shared" si="19"/>
        <v>Normal</v>
      </c>
      <c r="M427" t="str">
        <f t="shared" si="20"/>
        <v>Normal</v>
      </c>
      <c r="N427" s="55"/>
    </row>
    <row r="428" spans="1:14" x14ac:dyDescent="0.3">
      <c r="A428" t="s">
        <v>23</v>
      </c>
      <c r="B428" t="s">
        <v>24</v>
      </c>
      <c r="C428" s="2">
        <v>46068</v>
      </c>
      <c r="D428">
        <v>387.1</v>
      </c>
      <c r="E428">
        <v>71.599999999999994</v>
      </c>
      <c r="F428" s="8">
        <f t="shared" si="18"/>
        <v>5.4064245810055871</v>
      </c>
      <c r="G428">
        <v>1.5</v>
      </c>
      <c r="H428">
        <v>6</v>
      </c>
      <c r="I428">
        <v>61.6</v>
      </c>
      <c r="J428">
        <v>85.7</v>
      </c>
      <c r="K428" t="str">
        <f>IF(COUNTIFS($A$2:A428, A428, $C$2:C428, C428)&gt;1, "Duplicate", "Unique")</f>
        <v>Unique</v>
      </c>
      <c r="L428" t="str">
        <f t="shared" si="19"/>
        <v>Normal</v>
      </c>
      <c r="M428" t="str">
        <f t="shared" si="20"/>
        <v>Normal</v>
      </c>
      <c r="N428" s="55"/>
    </row>
    <row r="429" spans="1:14" x14ac:dyDescent="0.3">
      <c r="A429" t="s">
        <v>23</v>
      </c>
      <c r="B429" t="s">
        <v>24</v>
      </c>
      <c r="C429" s="2">
        <v>46037</v>
      </c>
      <c r="D429">
        <v>361.5</v>
      </c>
      <c r="E429">
        <v>83.7</v>
      </c>
      <c r="F429" s="8">
        <f t="shared" si="18"/>
        <v>4.3189964157706093</v>
      </c>
      <c r="G429">
        <v>2.7</v>
      </c>
      <c r="H429">
        <v>7</v>
      </c>
      <c r="I429">
        <v>60.3</v>
      </c>
      <c r="J429">
        <v>98.4</v>
      </c>
      <c r="K429" t="str">
        <f>IF(COUNTIFS($A$2:A429, A429, $C$2:C429, C429)&gt;1, "Duplicate", "Unique")</f>
        <v>Duplicate</v>
      </c>
      <c r="L429" t="str">
        <f t="shared" si="19"/>
        <v>Normal</v>
      </c>
      <c r="M429" t="str">
        <f t="shared" si="20"/>
        <v>Normal</v>
      </c>
      <c r="N429" s="55"/>
    </row>
    <row r="430" spans="1:14" x14ac:dyDescent="0.3">
      <c r="A430" t="s">
        <v>23</v>
      </c>
      <c r="B430" t="s">
        <v>24</v>
      </c>
      <c r="C430" s="2">
        <v>46071</v>
      </c>
      <c r="D430">
        <v>418.9</v>
      </c>
      <c r="E430">
        <v>78.3</v>
      </c>
      <c r="F430" s="8">
        <f t="shared" si="18"/>
        <v>5.3499361430395913</v>
      </c>
      <c r="G430">
        <v>1.9</v>
      </c>
      <c r="H430">
        <v>5</v>
      </c>
      <c r="I430">
        <v>31.1</v>
      </c>
      <c r="J430">
        <v>92.8</v>
      </c>
      <c r="K430" t="str">
        <f>IF(COUNTIFS($A$2:A430, A430, $C$2:C430, C430)&gt;1, "Duplicate", "Unique")</f>
        <v>Unique</v>
      </c>
      <c r="L430" t="str">
        <f t="shared" si="19"/>
        <v>Normal</v>
      </c>
      <c r="M430" t="str">
        <f t="shared" si="20"/>
        <v>Normal</v>
      </c>
      <c r="N430" s="55"/>
    </row>
    <row r="431" spans="1:14" x14ac:dyDescent="0.3">
      <c r="A431" t="s">
        <v>23</v>
      </c>
      <c r="B431" t="s">
        <v>24</v>
      </c>
      <c r="C431" s="2">
        <v>46085</v>
      </c>
      <c r="D431">
        <v>246.7</v>
      </c>
      <c r="E431">
        <v>55.3</v>
      </c>
      <c r="F431" s="8">
        <f t="shared" si="18"/>
        <v>4.4611211573236886</v>
      </c>
      <c r="G431">
        <v>1.5</v>
      </c>
      <c r="H431">
        <v>3</v>
      </c>
      <c r="I431">
        <v>55.4</v>
      </c>
      <c r="J431">
        <v>90.5</v>
      </c>
      <c r="K431" t="str">
        <f>IF(COUNTIFS($A$2:A431, A431, $C$2:C431, C431)&gt;1, "Duplicate", "Unique")</f>
        <v>Unique</v>
      </c>
      <c r="L431" t="str">
        <f t="shared" si="19"/>
        <v>Normal</v>
      </c>
      <c r="M431" t="str">
        <f t="shared" si="20"/>
        <v>Normal</v>
      </c>
      <c r="N431" s="55"/>
    </row>
    <row r="432" spans="1:14" x14ac:dyDescent="0.3">
      <c r="A432" t="s">
        <v>23</v>
      </c>
      <c r="B432" t="s">
        <v>24</v>
      </c>
      <c r="C432" s="2">
        <v>46077</v>
      </c>
      <c r="D432">
        <v>142.4</v>
      </c>
      <c r="E432">
        <v>39.1</v>
      </c>
      <c r="F432" s="8">
        <f t="shared" si="18"/>
        <v>3.6419437340153453</v>
      </c>
      <c r="G432">
        <v>3.6</v>
      </c>
      <c r="H432">
        <v>7</v>
      </c>
      <c r="I432">
        <v>42.5</v>
      </c>
      <c r="J432">
        <v>90.4</v>
      </c>
      <c r="K432" t="str">
        <f>IF(COUNTIFS($A$2:A432, A432, $C$2:C432, C432)&gt;1, "Duplicate", "Unique")</f>
        <v>Duplicate</v>
      </c>
      <c r="L432" t="str">
        <f t="shared" si="19"/>
        <v>Normal</v>
      </c>
      <c r="M432" t="str">
        <f t="shared" si="20"/>
        <v>Normal</v>
      </c>
      <c r="N432" s="55"/>
    </row>
    <row r="433" spans="1:14" x14ac:dyDescent="0.3">
      <c r="A433" t="s">
        <v>23</v>
      </c>
      <c r="B433" t="s">
        <v>24</v>
      </c>
      <c r="C433" s="2">
        <v>46084</v>
      </c>
      <c r="D433">
        <v>251.3</v>
      </c>
      <c r="E433">
        <v>66.7</v>
      </c>
      <c r="F433" s="8">
        <f t="shared" si="18"/>
        <v>3.7676161919040481</v>
      </c>
      <c r="G433">
        <v>1.5</v>
      </c>
      <c r="H433">
        <v>2</v>
      </c>
      <c r="I433">
        <v>37.9</v>
      </c>
      <c r="J433">
        <v>94.1</v>
      </c>
      <c r="K433" t="str">
        <f>IF(COUNTIFS($A$2:A433, A433, $C$2:C433, C433)&gt;1, "Duplicate", "Unique")</f>
        <v>Unique</v>
      </c>
      <c r="L433" t="str">
        <f t="shared" si="19"/>
        <v>Normal</v>
      </c>
      <c r="M433" t="str">
        <f t="shared" si="20"/>
        <v>Normal</v>
      </c>
      <c r="N433" s="55"/>
    </row>
    <row r="434" spans="1:14" x14ac:dyDescent="0.3">
      <c r="A434" t="s">
        <v>23</v>
      </c>
      <c r="B434" t="s">
        <v>24</v>
      </c>
      <c r="C434" s="2">
        <v>46086</v>
      </c>
      <c r="D434">
        <v>412.3</v>
      </c>
      <c r="E434">
        <v>79.599999999999994</v>
      </c>
      <c r="F434" s="8">
        <f t="shared" si="18"/>
        <v>5.1796482412060305</v>
      </c>
      <c r="G434">
        <v>2.7</v>
      </c>
      <c r="H434">
        <v>5</v>
      </c>
      <c r="I434">
        <v>52.1</v>
      </c>
      <c r="J434">
        <v>99.8</v>
      </c>
      <c r="K434" t="str">
        <f>IF(COUNTIFS($A$2:A434, A434, $C$2:C434, C434)&gt;1, "Duplicate", "Unique")</f>
        <v>Unique</v>
      </c>
      <c r="L434" t="str">
        <f t="shared" si="19"/>
        <v>Normal</v>
      </c>
      <c r="M434" t="str">
        <f t="shared" si="20"/>
        <v>Normal</v>
      </c>
      <c r="N434" s="55"/>
    </row>
    <row r="435" spans="1:14" x14ac:dyDescent="0.3">
      <c r="A435" t="s">
        <v>23</v>
      </c>
      <c r="B435" t="s">
        <v>24</v>
      </c>
      <c r="C435" s="2">
        <v>46076</v>
      </c>
      <c r="D435">
        <v>313.60000000000002</v>
      </c>
      <c r="E435">
        <v>72.2</v>
      </c>
      <c r="F435" s="8">
        <f t="shared" si="18"/>
        <v>4.3434903047091415</v>
      </c>
      <c r="G435">
        <v>3.9</v>
      </c>
      <c r="H435">
        <v>2</v>
      </c>
      <c r="I435">
        <v>33.6</v>
      </c>
      <c r="J435">
        <v>90.2</v>
      </c>
      <c r="K435" t="str">
        <f>IF(COUNTIFS($A$2:A435, A435, $C$2:C435, C435)&gt;1, "Duplicate", "Unique")</f>
        <v>Unique</v>
      </c>
      <c r="L435" t="str">
        <f t="shared" si="19"/>
        <v>Normal</v>
      </c>
      <c r="M435" t="str">
        <f t="shared" si="20"/>
        <v>Normal</v>
      </c>
      <c r="N435" s="55"/>
    </row>
    <row r="436" spans="1:14" x14ac:dyDescent="0.3">
      <c r="A436" t="s">
        <v>23</v>
      </c>
      <c r="B436" t="s">
        <v>24</v>
      </c>
      <c r="C436" s="2">
        <v>46063</v>
      </c>
      <c r="D436">
        <v>321.60000000000002</v>
      </c>
      <c r="E436">
        <v>68.2</v>
      </c>
      <c r="F436" s="8">
        <f t="shared" si="18"/>
        <v>4.7155425219941352</v>
      </c>
      <c r="G436">
        <v>2.8</v>
      </c>
      <c r="H436">
        <v>7</v>
      </c>
      <c r="I436">
        <v>42.2</v>
      </c>
      <c r="J436">
        <v>91.7</v>
      </c>
      <c r="K436" t="str">
        <f>IF(COUNTIFS($A$2:A436, A436, $C$2:C436, C436)&gt;1, "Duplicate", "Unique")</f>
        <v>Unique</v>
      </c>
      <c r="L436" t="str">
        <f t="shared" si="19"/>
        <v>Normal</v>
      </c>
      <c r="M436" t="str">
        <f t="shared" si="20"/>
        <v>Normal</v>
      </c>
      <c r="N436" s="55"/>
    </row>
    <row r="437" spans="1:14" x14ac:dyDescent="0.3">
      <c r="A437" t="s">
        <v>23</v>
      </c>
      <c r="B437" t="s">
        <v>24</v>
      </c>
      <c r="C437" s="2">
        <v>46033</v>
      </c>
      <c r="D437">
        <v>392.1</v>
      </c>
      <c r="E437">
        <v>73</v>
      </c>
      <c r="F437" s="8">
        <f t="shared" si="18"/>
        <v>5.3712328767123294</v>
      </c>
      <c r="G437">
        <v>0.4</v>
      </c>
      <c r="H437">
        <v>7</v>
      </c>
      <c r="I437">
        <v>33.200000000000003</v>
      </c>
      <c r="J437">
        <v>92.1</v>
      </c>
      <c r="K437" t="str">
        <f>IF(COUNTIFS($A$2:A437, A437, $C$2:C437, C437)&gt;1, "Duplicate", "Unique")</f>
        <v>Duplicate</v>
      </c>
      <c r="L437" t="str">
        <f t="shared" si="19"/>
        <v>Normal</v>
      </c>
      <c r="M437" t="str">
        <f t="shared" si="20"/>
        <v>Normal</v>
      </c>
      <c r="N437" s="55"/>
    </row>
    <row r="438" spans="1:14" x14ac:dyDescent="0.3">
      <c r="A438" t="s">
        <v>23</v>
      </c>
      <c r="B438" t="s">
        <v>24</v>
      </c>
      <c r="C438" s="2">
        <v>46103</v>
      </c>
      <c r="D438">
        <v>102.2</v>
      </c>
      <c r="E438">
        <v>27.2</v>
      </c>
      <c r="F438" s="8">
        <f t="shared" si="18"/>
        <v>3.757352941176471</v>
      </c>
      <c r="G438">
        <v>0.9</v>
      </c>
      <c r="H438">
        <v>2</v>
      </c>
      <c r="I438">
        <v>35.700000000000003</v>
      </c>
      <c r="J438">
        <v>88.5</v>
      </c>
      <c r="K438" t="str">
        <f>IF(COUNTIFS($A$2:A438, A438, $C$2:C438, C438)&gt;1, "Duplicate", "Unique")</f>
        <v>Unique</v>
      </c>
      <c r="L438" t="str">
        <f t="shared" si="19"/>
        <v>Normal</v>
      </c>
      <c r="M438" t="str">
        <f t="shared" si="20"/>
        <v>Normal</v>
      </c>
      <c r="N438" s="55"/>
    </row>
    <row r="439" spans="1:14" x14ac:dyDescent="0.3">
      <c r="A439" t="s">
        <v>23</v>
      </c>
      <c r="B439" t="s">
        <v>24</v>
      </c>
      <c r="C439" s="2">
        <v>46092</v>
      </c>
      <c r="D439">
        <v>289</v>
      </c>
      <c r="E439">
        <v>78.5</v>
      </c>
      <c r="F439" s="8">
        <f t="shared" si="18"/>
        <v>3.6815286624203822</v>
      </c>
      <c r="G439">
        <v>3.2</v>
      </c>
      <c r="H439">
        <v>3</v>
      </c>
      <c r="I439">
        <v>32.299999999999997</v>
      </c>
      <c r="J439">
        <v>96</v>
      </c>
      <c r="K439" t="str">
        <f>IF(COUNTIFS($A$2:A439, A439, $C$2:C439, C439)&gt;1, "Duplicate", "Unique")</f>
        <v>Unique</v>
      </c>
      <c r="L439" t="str">
        <f t="shared" si="19"/>
        <v>Normal</v>
      </c>
      <c r="M439" t="str">
        <f t="shared" si="20"/>
        <v>Normal</v>
      </c>
      <c r="N439" s="55"/>
    </row>
    <row r="440" spans="1:14" x14ac:dyDescent="0.3">
      <c r="A440" t="s">
        <v>23</v>
      </c>
      <c r="B440" t="s">
        <v>24</v>
      </c>
      <c r="C440" s="2">
        <v>46049</v>
      </c>
      <c r="D440">
        <v>353.8</v>
      </c>
      <c r="E440">
        <v>104.9</v>
      </c>
      <c r="F440" s="8">
        <f t="shared" si="18"/>
        <v>3.3727359389895137</v>
      </c>
      <c r="G440">
        <v>2.5</v>
      </c>
      <c r="H440">
        <v>5</v>
      </c>
      <c r="I440">
        <v>54.7</v>
      </c>
      <c r="J440">
        <v>94.3</v>
      </c>
      <c r="K440" t="str">
        <f>IF(COUNTIFS($A$2:A440, A440, $C$2:C440, C440)&gt;1, "Duplicate", "Unique")</f>
        <v>Duplicate</v>
      </c>
      <c r="L440" t="str">
        <f t="shared" si="19"/>
        <v>Normal</v>
      </c>
      <c r="M440" t="str">
        <f t="shared" si="20"/>
        <v>Normal</v>
      </c>
      <c r="N440" s="55"/>
    </row>
    <row r="441" spans="1:14" x14ac:dyDescent="0.3">
      <c r="A441" t="s">
        <v>23</v>
      </c>
      <c r="B441" t="s">
        <v>24</v>
      </c>
      <c r="C441" s="2">
        <v>46082</v>
      </c>
      <c r="D441">
        <v>370.1</v>
      </c>
      <c r="E441">
        <v>94.5</v>
      </c>
      <c r="F441" s="8">
        <f t="shared" si="18"/>
        <v>3.9164021164021166</v>
      </c>
      <c r="G441">
        <v>3.4</v>
      </c>
      <c r="H441">
        <v>5</v>
      </c>
      <c r="I441">
        <v>55.4</v>
      </c>
      <c r="J441">
        <v>95.2</v>
      </c>
      <c r="K441" t="str">
        <f>IF(COUNTIFS($A$2:A441, A441, $C$2:C441, C441)&gt;1, "Duplicate", "Unique")</f>
        <v>Unique</v>
      </c>
      <c r="L441" t="str">
        <f t="shared" si="19"/>
        <v>Normal</v>
      </c>
      <c r="M441" t="str">
        <f t="shared" si="20"/>
        <v>Normal</v>
      </c>
      <c r="N441" s="55"/>
    </row>
    <row r="442" spans="1:14" x14ac:dyDescent="0.3">
      <c r="A442" t="s">
        <v>23</v>
      </c>
      <c r="B442" t="s">
        <v>24</v>
      </c>
      <c r="C442" s="2">
        <v>46094</v>
      </c>
      <c r="D442">
        <v>116.1</v>
      </c>
      <c r="E442">
        <v>29</v>
      </c>
      <c r="F442" s="8">
        <f t="shared" si="18"/>
        <v>4.0034482758620689</v>
      </c>
      <c r="G442">
        <v>1.5</v>
      </c>
      <c r="H442">
        <v>7</v>
      </c>
      <c r="I442">
        <v>33.1</v>
      </c>
      <c r="J442">
        <v>86.6</v>
      </c>
      <c r="K442" t="str">
        <f>IF(COUNTIFS($A$2:A442, A442, $C$2:C442, C442)&gt;1, "Duplicate", "Unique")</f>
        <v>Unique</v>
      </c>
      <c r="L442" t="str">
        <f t="shared" si="19"/>
        <v>Normal</v>
      </c>
      <c r="M442" t="str">
        <f t="shared" si="20"/>
        <v>Normal</v>
      </c>
      <c r="N442" s="55"/>
    </row>
    <row r="443" spans="1:14" x14ac:dyDescent="0.3">
      <c r="A443" t="s">
        <v>23</v>
      </c>
      <c r="B443" t="s">
        <v>24</v>
      </c>
      <c r="C443" s="2">
        <v>46061</v>
      </c>
      <c r="D443">
        <v>291</v>
      </c>
      <c r="E443">
        <v>55.3</v>
      </c>
      <c r="F443" s="8">
        <f t="shared" si="18"/>
        <v>5.2622061482820977</v>
      </c>
      <c r="G443">
        <v>1.5</v>
      </c>
      <c r="H443">
        <v>7</v>
      </c>
      <c r="I443">
        <v>62.3</v>
      </c>
      <c r="J443">
        <v>98.7</v>
      </c>
      <c r="K443" t="str">
        <f>IF(COUNTIFS($A$2:A443, A443, $C$2:C443, C443)&gt;1, "Duplicate", "Unique")</f>
        <v>Duplicate</v>
      </c>
      <c r="L443" t="str">
        <f t="shared" si="19"/>
        <v>Normal</v>
      </c>
      <c r="M443" t="str">
        <f t="shared" si="20"/>
        <v>Normal</v>
      </c>
      <c r="N443" s="55"/>
    </row>
    <row r="444" spans="1:14" x14ac:dyDescent="0.3">
      <c r="A444" t="s">
        <v>23</v>
      </c>
      <c r="B444" t="s">
        <v>24</v>
      </c>
      <c r="C444" s="2">
        <v>46055</v>
      </c>
      <c r="D444">
        <v>139.9</v>
      </c>
      <c r="E444">
        <v>46.6</v>
      </c>
      <c r="F444" s="8">
        <f t="shared" si="18"/>
        <v>3.0021459227467813</v>
      </c>
      <c r="G444">
        <v>3.5</v>
      </c>
      <c r="H444">
        <v>7</v>
      </c>
      <c r="I444">
        <v>47.5</v>
      </c>
      <c r="J444">
        <v>99.9</v>
      </c>
      <c r="K444" t="str">
        <f>IF(COUNTIFS($A$2:A444, A444, $C$2:C444, C444)&gt;1, "Duplicate", "Unique")</f>
        <v>Unique</v>
      </c>
      <c r="L444" t="str">
        <f t="shared" si="19"/>
        <v>Normal</v>
      </c>
      <c r="M444" t="str">
        <f t="shared" si="20"/>
        <v>Normal</v>
      </c>
      <c r="N444" s="55"/>
    </row>
    <row r="445" spans="1:14" x14ac:dyDescent="0.3">
      <c r="A445" t="s">
        <v>23</v>
      </c>
      <c r="B445" t="s">
        <v>24</v>
      </c>
      <c r="C445" s="2">
        <v>46109</v>
      </c>
      <c r="D445">
        <v>228.7</v>
      </c>
      <c r="E445">
        <v>73.2</v>
      </c>
      <c r="F445" s="8">
        <f t="shared" si="18"/>
        <v>3.12431693989071</v>
      </c>
      <c r="G445">
        <v>3.1</v>
      </c>
      <c r="H445">
        <v>3</v>
      </c>
      <c r="I445">
        <v>44.5</v>
      </c>
      <c r="J445">
        <v>99.5</v>
      </c>
      <c r="K445" t="str">
        <f>IF(COUNTIFS($A$2:A445, A445, $C$2:C445, C445)&gt;1, "Duplicate", "Unique")</f>
        <v>Unique</v>
      </c>
      <c r="L445" t="str">
        <f t="shared" si="19"/>
        <v>Normal</v>
      </c>
      <c r="M445" t="str">
        <f t="shared" si="20"/>
        <v>Normal</v>
      </c>
      <c r="N445" s="55"/>
    </row>
    <row r="446" spans="1:14" x14ac:dyDescent="0.3">
      <c r="A446" t="s">
        <v>23</v>
      </c>
      <c r="B446" t="s">
        <v>24</v>
      </c>
      <c r="C446" s="2">
        <v>46052</v>
      </c>
      <c r="D446">
        <v>368.2</v>
      </c>
      <c r="E446">
        <v>100</v>
      </c>
      <c r="F446" s="8">
        <f t="shared" si="18"/>
        <v>3.6819999999999999</v>
      </c>
      <c r="G446">
        <v>0.6</v>
      </c>
      <c r="H446">
        <v>7</v>
      </c>
      <c r="I446">
        <v>69.099999999999994</v>
      </c>
      <c r="J446">
        <v>90.6</v>
      </c>
      <c r="K446" t="str">
        <f>IF(COUNTIFS($A$2:A446, A446, $C$2:C446, C446)&gt;1, "Duplicate", "Unique")</f>
        <v>Unique</v>
      </c>
      <c r="L446" t="str">
        <f t="shared" si="19"/>
        <v>Normal</v>
      </c>
      <c r="M446" t="str">
        <f t="shared" si="20"/>
        <v>Normal</v>
      </c>
      <c r="N446" s="55"/>
    </row>
    <row r="447" spans="1:14" x14ac:dyDescent="0.3">
      <c r="A447" t="s">
        <v>23</v>
      </c>
      <c r="B447" t="s">
        <v>24</v>
      </c>
      <c r="C447" s="2">
        <v>46051</v>
      </c>
      <c r="D447">
        <v>408</v>
      </c>
      <c r="E447">
        <v>92.1</v>
      </c>
      <c r="F447" s="8">
        <f t="shared" si="18"/>
        <v>4.4299674267100979</v>
      </c>
      <c r="G447">
        <v>3.6</v>
      </c>
      <c r="H447">
        <v>3</v>
      </c>
      <c r="I447">
        <v>56</v>
      </c>
      <c r="J447">
        <v>93.3</v>
      </c>
      <c r="K447" t="str">
        <f>IF(COUNTIFS($A$2:A447, A447, $C$2:C447, C447)&gt;1, "Duplicate", "Unique")</f>
        <v>Duplicate</v>
      </c>
      <c r="L447" t="str">
        <f t="shared" si="19"/>
        <v>Normal</v>
      </c>
      <c r="M447" t="str">
        <f t="shared" si="20"/>
        <v>Normal</v>
      </c>
      <c r="N447" s="55"/>
    </row>
    <row r="448" spans="1:14" x14ac:dyDescent="0.3">
      <c r="A448" t="s">
        <v>23</v>
      </c>
      <c r="B448" t="s">
        <v>24</v>
      </c>
      <c r="C448" s="2">
        <v>46090</v>
      </c>
      <c r="D448">
        <v>92.1</v>
      </c>
      <c r="E448">
        <v>23.3</v>
      </c>
      <c r="F448" s="8">
        <f t="shared" si="18"/>
        <v>3.9527896995708152</v>
      </c>
      <c r="G448">
        <v>1.4</v>
      </c>
      <c r="H448">
        <v>4</v>
      </c>
      <c r="I448">
        <v>65.400000000000006</v>
      </c>
      <c r="J448">
        <v>86.2</v>
      </c>
      <c r="K448" t="str">
        <f>IF(COUNTIFS($A$2:A448, A448, $C$2:C448, C448)&gt;1, "Duplicate", "Unique")</f>
        <v>Unique</v>
      </c>
      <c r="L448" t="str">
        <f t="shared" si="19"/>
        <v>Normal</v>
      </c>
      <c r="M448" t="str">
        <f t="shared" si="20"/>
        <v>Normal</v>
      </c>
      <c r="N448" s="55"/>
    </row>
    <row r="449" spans="1:14" x14ac:dyDescent="0.3">
      <c r="A449" t="s">
        <v>23</v>
      </c>
      <c r="B449" t="s">
        <v>24</v>
      </c>
      <c r="C449" s="2">
        <v>46030</v>
      </c>
      <c r="D449">
        <v>270.5</v>
      </c>
      <c r="E449">
        <v>51.5</v>
      </c>
      <c r="F449" s="8">
        <f t="shared" si="18"/>
        <v>5.2524271844660193</v>
      </c>
      <c r="G449">
        <v>1.8</v>
      </c>
      <c r="H449">
        <v>1</v>
      </c>
      <c r="I449">
        <v>35</v>
      </c>
      <c r="J449">
        <v>90.5</v>
      </c>
      <c r="K449" t="str">
        <f>IF(COUNTIFS($A$2:A449, A449, $C$2:C449, C449)&gt;1, "Duplicate", "Unique")</f>
        <v>Duplicate</v>
      </c>
      <c r="L449" t="str">
        <f t="shared" si="19"/>
        <v>Normal</v>
      </c>
      <c r="M449" t="str">
        <f t="shared" si="20"/>
        <v>Normal</v>
      </c>
      <c r="N449" s="55"/>
    </row>
    <row r="450" spans="1:14" x14ac:dyDescent="0.3">
      <c r="A450" t="s">
        <v>23</v>
      </c>
      <c r="B450" t="s">
        <v>24</v>
      </c>
      <c r="C450" s="2">
        <v>46068</v>
      </c>
      <c r="D450">
        <v>412.2</v>
      </c>
      <c r="E450">
        <v>99.1</v>
      </c>
      <c r="F450" s="8">
        <f t="shared" si="18"/>
        <v>4.1594349142280524</v>
      </c>
      <c r="G450">
        <v>2</v>
      </c>
      <c r="H450">
        <v>1</v>
      </c>
      <c r="I450">
        <v>32.9</v>
      </c>
      <c r="J450">
        <v>90.2</v>
      </c>
      <c r="K450" t="str">
        <f>IF(COUNTIFS($A$2:A450, A450, $C$2:C450, C450)&gt;1, "Duplicate", "Unique")</f>
        <v>Duplicate</v>
      </c>
      <c r="L450" t="str">
        <f t="shared" si="19"/>
        <v>Normal</v>
      </c>
      <c r="M450" t="str">
        <f t="shared" si="20"/>
        <v>Normal</v>
      </c>
      <c r="N450" s="55"/>
    </row>
    <row r="451" spans="1:14" x14ac:dyDescent="0.3">
      <c r="A451" t="s">
        <v>23</v>
      </c>
      <c r="B451" t="s">
        <v>24</v>
      </c>
      <c r="C451" s="2">
        <v>46085</v>
      </c>
      <c r="D451">
        <v>299.5</v>
      </c>
      <c r="E451">
        <v>64</v>
      </c>
      <c r="F451" s="8">
        <f t="shared" ref="F451:F514" si="21">IFERROR(D451/E451,0)</f>
        <v>4.6796875</v>
      </c>
      <c r="G451">
        <v>3.8</v>
      </c>
      <c r="H451">
        <v>8</v>
      </c>
      <c r="I451">
        <v>50.6</v>
      </c>
      <c r="J451">
        <v>93.5</v>
      </c>
      <c r="K451" t="str">
        <f>IF(COUNTIFS($A$2:A451, A451, $C$2:C451, C451)&gt;1, "Duplicate", "Unique")</f>
        <v>Duplicate</v>
      </c>
      <c r="L451" t="str">
        <f t="shared" ref="L451:L514" si="22">IF(G451 &gt; (AVERAGE($G$2:$G$811) + (3 * _xlfn.STDEV.P($G$2:$G$811))), "Extreme Idle Outlier", "Normal")</f>
        <v>Normal</v>
      </c>
      <c r="M451" t="str">
        <f t="shared" ref="M451:M514" si="23">IFERROR(IF((D451 / E451) &lt; 3, "Suspiciously Low Efficiency", "Normal"),0)</f>
        <v>Normal</v>
      </c>
      <c r="N451" s="55"/>
    </row>
    <row r="452" spans="1:14" x14ac:dyDescent="0.3">
      <c r="A452" t="s">
        <v>23</v>
      </c>
      <c r="B452" t="s">
        <v>24</v>
      </c>
      <c r="C452" s="2">
        <v>46042</v>
      </c>
      <c r="D452">
        <v>81.599999999999994</v>
      </c>
      <c r="E452">
        <v>17</v>
      </c>
      <c r="F452" s="8">
        <f t="shared" si="21"/>
        <v>4.8</v>
      </c>
      <c r="G452">
        <v>4.4000000000000004</v>
      </c>
      <c r="H452">
        <v>6</v>
      </c>
      <c r="I452">
        <v>59.1</v>
      </c>
      <c r="J452">
        <v>89.4</v>
      </c>
      <c r="K452" t="str">
        <f>IF(COUNTIFS($A$2:A452, A452, $C$2:C452, C452)&gt;1, "Duplicate", "Unique")</f>
        <v>Unique</v>
      </c>
      <c r="L452" t="str">
        <f t="shared" si="22"/>
        <v>Normal</v>
      </c>
      <c r="M452" t="str">
        <f t="shared" si="23"/>
        <v>Normal</v>
      </c>
      <c r="N452" s="55"/>
    </row>
    <row r="453" spans="1:14" x14ac:dyDescent="0.3">
      <c r="A453" t="s">
        <v>17</v>
      </c>
      <c r="B453" t="s">
        <v>18</v>
      </c>
      <c r="C453" s="2">
        <v>46100</v>
      </c>
      <c r="D453">
        <v>177.9</v>
      </c>
      <c r="E453">
        <v>61</v>
      </c>
      <c r="F453" s="8">
        <f t="shared" si="21"/>
        <v>2.916393442622951</v>
      </c>
      <c r="G453">
        <v>2.2000000000000002</v>
      </c>
      <c r="H453">
        <v>2</v>
      </c>
      <c r="I453">
        <v>73.8</v>
      </c>
      <c r="J453">
        <v>90.7</v>
      </c>
      <c r="K453" t="str">
        <f>IF(COUNTIFS($A$2:A453, A453, $C$2:C453, C453)&gt;1, "Duplicate", "Unique")</f>
        <v>Unique</v>
      </c>
      <c r="L453" t="str">
        <f t="shared" si="22"/>
        <v>Normal</v>
      </c>
      <c r="M453" t="str">
        <f t="shared" si="23"/>
        <v>Suspiciously Low Efficiency</v>
      </c>
      <c r="N453" s="55"/>
    </row>
    <row r="454" spans="1:14" x14ac:dyDescent="0.3">
      <c r="A454" t="s">
        <v>17</v>
      </c>
      <c r="B454" t="s">
        <v>18</v>
      </c>
      <c r="C454" s="2">
        <v>46043</v>
      </c>
      <c r="D454">
        <v>217</v>
      </c>
      <c r="E454">
        <v>64.5</v>
      </c>
      <c r="F454" s="8">
        <f t="shared" si="21"/>
        <v>3.364341085271318</v>
      </c>
      <c r="G454">
        <v>1.3</v>
      </c>
      <c r="H454">
        <v>2</v>
      </c>
      <c r="I454">
        <v>57.4</v>
      </c>
      <c r="J454">
        <v>87.6</v>
      </c>
      <c r="K454" t="str">
        <f>IF(COUNTIFS($A$2:A454, A454, $C$2:C454, C454)&gt;1, "Duplicate", "Unique")</f>
        <v>Unique</v>
      </c>
      <c r="L454" t="str">
        <f t="shared" si="22"/>
        <v>Normal</v>
      </c>
      <c r="M454" t="str">
        <f t="shared" si="23"/>
        <v>Normal</v>
      </c>
      <c r="N454" s="55"/>
    </row>
    <row r="455" spans="1:14" x14ac:dyDescent="0.3">
      <c r="A455" t="s">
        <v>17</v>
      </c>
      <c r="B455" t="s">
        <v>18</v>
      </c>
      <c r="C455" s="2">
        <v>46059</v>
      </c>
      <c r="D455">
        <v>138.4</v>
      </c>
      <c r="E455">
        <v>27.4</v>
      </c>
      <c r="F455" s="8">
        <f t="shared" si="21"/>
        <v>5.0510948905109494</v>
      </c>
      <c r="G455">
        <v>3.2</v>
      </c>
      <c r="H455">
        <v>1</v>
      </c>
      <c r="I455">
        <v>60.1</v>
      </c>
      <c r="J455">
        <v>93.3</v>
      </c>
      <c r="K455" t="str">
        <f>IF(COUNTIFS($A$2:A455, A455, $C$2:C455, C455)&gt;1, "Duplicate", "Unique")</f>
        <v>Unique</v>
      </c>
      <c r="L455" t="str">
        <f t="shared" si="22"/>
        <v>Normal</v>
      </c>
      <c r="M455" t="str">
        <f t="shared" si="23"/>
        <v>Normal</v>
      </c>
      <c r="N455" s="55"/>
    </row>
    <row r="456" spans="1:14" x14ac:dyDescent="0.3">
      <c r="A456" t="s">
        <v>17</v>
      </c>
      <c r="B456" t="s">
        <v>18</v>
      </c>
      <c r="C456" s="2">
        <v>46102</v>
      </c>
      <c r="D456">
        <v>359.9</v>
      </c>
      <c r="E456">
        <v>80.2</v>
      </c>
      <c r="F456" s="8">
        <f t="shared" si="21"/>
        <v>4.4875311720698248</v>
      </c>
      <c r="G456">
        <v>3.5</v>
      </c>
      <c r="H456">
        <v>4</v>
      </c>
      <c r="I456">
        <v>42</v>
      </c>
      <c r="J456">
        <v>87</v>
      </c>
      <c r="K456" t="str">
        <f>IF(COUNTIFS($A$2:A456, A456, $C$2:C456, C456)&gt;1, "Duplicate", "Unique")</f>
        <v>Unique</v>
      </c>
      <c r="L456" t="str">
        <f t="shared" si="22"/>
        <v>Normal</v>
      </c>
      <c r="M456" t="str">
        <f t="shared" si="23"/>
        <v>Normal</v>
      </c>
      <c r="N456" s="55"/>
    </row>
    <row r="457" spans="1:14" x14ac:dyDescent="0.3">
      <c r="A457" t="s">
        <v>17</v>
      </c>
      <c r="B457" t="s">
        <v>18</v>
      </c>
      <c r="C457" s="2">
        <v>46078</v>
      </c>
      <c r="D457">
        <v>133.9</v>
      </c>
      <c r="E457">
        <v>31.6</v>
      </c>
      <c r="F457" s="8">
        <f t="shared" si="21"/>
        <v>4.2373417721518987</v>
      </c>
      <c r="G457">
        <v>2.6</v>
      </c>
      <c r="H457">
        <v>3</v>
      </c>
      <c r="I457">
        <v>37.6</v>
      </c>
      <c r="J457">
        <v>86.2</v>
      </c>
      <c r="K457" t="str">
        <f>IF(COUNTIFS($A$2:A457, A457, $C$2:C457, C457)&gt;1, "Duplicate", "Unique")</f>
        <v>Unique</v>
      </c>
      <c r="L457" t="str">
        <f t="shared" si="22"/>
        <v>Normal</v>
      </c>
      <c r="M457" t="str">
        <f t="shared" si="23"/>
        <v>Normal</v>
      </c>
      <c r="N457" s="55"/>
    </row>
    <row r="458" spans="1:14" x14ac:dyDescent="0.3">
      <c r="A458" t="s">
        <v>17</v>
      </c>
      <c r="B458" t="s">
        <v>18</v>
      </c>
      <c r="C458" s="2">
        <v>46090</v>
      </c>
      <c r="D458">
        <v>265.7</v>
      </c>
      <c r="E458">
        <v>75.099999999999994</v>
      </c>
      <c r="F458" s="8">
        <f t="shared" si="21"/>
        <v>3.5379494007989347</v>
      </c>
      <c r="G458">
        <v>0.9</v>
      </c>
      <c r="H458">
        <v>8</v>
      </c>
      <c r="I458">
        <v>73.5</v>
      </c>
      <c r="J458">
        <v>89.4</v>
      </c>
      <c r="K458" t="str">
        <f>IF(COUNTIFS($A$2:A458, A458, $C$2:C458, C458)&gt;1, "Duplicate", "Unique")</f>
        <v>Unique</v>
      </c>
      <c r="L458" t="str">
        <f t="shared" si="22"/>
        <v>Normal</v>
      </c>
      <c r="M458" t="str">
        <f t="shared" si="23"/>
        <v>Normal</v>
      </c>
      <c r="N458" s="55"/>
    </row>
    <row r="459" spans="1:14" x14ac:dyDescent="0.3">
      <c r="A459" t="s">
        <v>17</v>
      </c>
      <c r="B459" t="s">
        <v>18</v>
      </c>
      <c r="C459" s="2">
        <v>46030</v>
      </c>
      <c r="D459">
        <v>227.3</v>
      </c>
      <c r="E459">
        <v>68.599999999999994</v>
      </c>
      <c r="F459" s="8">
        <f t="shared" si="21"/>
        <v>3.3134110787172015</v>
      </c>
      <c r="G459">
        <v>0.7</v>
      </c>
      <c r="H459">
        <v>8</v>
      </c>
      <c r="I459">
        <v>34.1</v>
      </c>
      <c r="J459">
        <v>88.2</v>
      </c>
      <c r="K459" t="str">
        <f>IF(COUNTIFS($A$2:A459, A459, $C$2:C459, C459)&gt;1, "Duplicate", "Unique")</f>
        <v>Unique</v>
      </c>
      <c r="L459" t="str">
        <f t="shared" si="22"/>
        <v>Normal</v>
      </c>
      <c r="M459" t="str">
        <f t="shared" si="23"/>
        <v>Normal</v>
      </c>
      <c r="N459" s="55"/>
    </row>
    <row r="460" spans="1:14" x14ac:dyDescent="0.3">
      <c r="A460" t="s">
        <v>17</v>
      </c>
      <c r="B460" t="s">
        <v>18</v>
      </c>
      <c r="C460" s="2">
        <v>46067</v>
      </c>
      <c r="D460">
        <v>349.1</v>
      </c>
      <c r="E460">
        <v>69.7</v>
      </c>
      <c r="F460" s="8">
        <f t="shared" si="21"/>
        <v>5.0086083213773316</v>
      </c>
      <c r="G460">
        <v>3.7</v>
      </c>
      <c r="H460">
        <v>4</v>
      </c>
      <c r="I460">
        <v>34.6</v>
      </c>
      <c r="J460">
        <v>88.8</v>
      </c>
      <c r="K460" t="str">
        <f>IF(COUNTIFS($A$2:A460, A460, $C$2:C460, C460)&gt;1, "Duplicate", "Unique")</f>
        <v>Unique</v>
      </c>
      <c r="L460" t="str">
        <f t="shared" si="22"/>
        <v>Normal</v>
      </c>
      <c r="M460" t="str">
        <f t="shared" si="23"/>
        <v>Normal</v>
      </c>
      <c r="N460" s="55"/>
    </row>
    <row r="461" spans="1:14" x14ac:dyDescent="0.3">
      <c r="A461" t="s">
        <v>17</v>
      </c>
      <c r="B461" t="s">
        <v>18</v>
      </c>
      <c r="C461" s="2">
        <v>46025</v>
      </c>
      <c r="D461">
        <v>214.2</v>
      </c>
      <c r="E461">
        <v>65.2</v>
      </c>
      <c r="F461" s="8">
        <f t="shared" si="21"/>
        <v>3.2852760736196314</v>
      </c>
      <c r="G461">
        <v>1.1000000000000001</v>
      </c>
      <c r="H461">
        <v>8</v>
      </c>
      <c r="I461">
        <v>38.6</v>
      </c>
      <c r="J461">
        <v>100</v>
      </c>
      <c r="K461" t="str">
        <f>IF(COUNTIFS($A$2:A461, A461, $C$2:C461, C461)&gt;1, "Duplicate", "Unique")</f>
        <v>Unique</v>
      </c>
      <c r="L461" t="str">
        <f t="shared" si="22"/>
        <v>Normal</v>
      </c>
      <c r="M461" t="str">
        <f t="shared" si="23"/>
        <v>Normal</v>
      </c>
      <c r="N461" s="55"/>
    </row>
    <row r="462" spans="1:14" x14ac:dyDescent="0.3">
      <c r="A462" t="s">
        <v>17</v>
      </c>
      <c r="B462" t="s">
        <v>18</v>
      </c>
      <c r="C462" s="2">
        <v>46109</v>
      </c>
      <c r="D462">
        <v>346.2</v>
      </c>
      <c r="E462">
        <v>63.9</v>
      </c>
      <c r="F462" s="8">
        <f t="shared" si="21"/>
        <v>5.4178403755868541</v>
      </c>
      <c r="G462">
        <v>2.8</v>
      </c>
      <c r="H462">
        <v>8</v>
      </c>
      <c r="I462">
        <v>40.5</v>
      </c>
      <c r="J462">
        <v>88.6</v>
      </c>
      <c r="K462" t="str">
        <f>IF(COUNTIFS($A$2:A462, A462, $C$2:C462, C462)&gt;1, "Duplicate", "Unique")</f>
        <v>Unique</v>
      </c>
      <c r="L462" t="str">
        <f t="shared" si="22"/>
        <v>Normal</v>
      </c>
      <c r="M462" t="str">
        <f t="shared" si="23"/>
        <v>Normal</v>
      </c>
      <c r="N462" s="55"/>
    </row>
    <row r="463" spans="1:14" x14ac:dyDescent="0.3">
      <c r="A463" t="s">
        <v>17</v>
      </c>
      <c r="B463" t="s">
        <v>18</v>
      </c>
      <c r="C463" s="2">
        <v>46093</v>
      </c>
      <c r="D463">
        <v>291.7</v>
      </c>
      <c r="E463">
        <v>71.8</v>
      </c>
      <c r="F463" s="8">
        <f t="shared" si="21"/>
        <v>4.0626740947075213</v>
      </c>
      <c r="G463">
        <v>4.4000000000000004</v>
      </c>
      <c r="H463">
        <v>3</v>
      </c>
      <c r="I463">
        <v>57.5</v>
      </c>
      <c r="J463">
        <v>86.3</v>
      </c>
      <c r="K463" t="str">
        <f>IF(COUNTIFS($A$2:A463, A463, $C$2:C463, C463)&gt;1, "Duplicate", "Unique")</f>
        <v>Unique</v>
      </c>
      <c r="L463" t="str">
        <f t="shared" si="22"/>
        <v>Normal</v>
      </c>
      <c r="M463" t="str">
        <f t="shared" si="23"/>
        <v>Normal</v>
      </c>
      <c r="N463" s="55"/>
    </row>
    <row r="464" spans="1:14" x14ac:dyDescent="0.3">
      <c r="A464" t="s">
        <v>17</v>
      </c>
      <c r="B464" t="s">
        <v>18</v>
      </c>
      <c r="C464" s="2">
        <v>46074</v>
      </c>
      <c r="D464">
        <v>128.4</v>
      </c>
      <c r="E464">
        <v>33.799999999999997</v>
      </c>
      <c r="F464" s="8">
        <f t="shared" si="21"/>
        <v>3.7988165680473376</v>
      </c>
      <c r="G464">
        <v>2.6</v>
      </c>
      <c r="H464">
        <v>6</v>
      </c>
      <c r="I464">
        <v>40.9</v>
      </c>
      <c r="J464">
        <v>86.8</v>
      </c>
      <c r="K464" t="str">
        <f>IF(COUNTIFS($A$2:A464, A464, $C$2:C464, C464)&gt;1, "Duplicate", "Unique")</f>
        <v>Unique</v>
      </c>
      <c r="L464" t="str">
        <f t="shared" si="22"/>
        <v>Normal</v>
      </c>
      <c r="M464" t="str">
        <f t="shared" si="23"/>
        <v>Normal</v>
      </c>
      <c r="N464" s="55"/>
    </row>
    <row r="465" spans="1:14" x14ac:dyDescent="0.3">
      <c r="A465" t="s">
        <v>17</v>
      </c>
      <c r="B465" t="s">
        <v>18</v>
      </c>
      <c r="C465" s="2">
        <v>46029</v>
      </c>
      <c r="D465">
        <v>98.7</v>
      </c>
      <c r="E465">
        <v>23.9</v>
      </c>
      <c r="F465" s="8">
        <f t="shared" si="21"/>
        <v>4.1297071129707117</v>
      </c>
      <c r="G465">
        <v>4</v>
      </c>
      <c r="H465">
        <v>8</v>
      </c>
      <c r="I465">
        <v>42.9</v>
      </c>
      <c r="J465">
        <v>85.1</v>
      </c>
      <c r="K465" t="str">
        <f>IF(COUNTIFS($A$2:A465, A465, $C$2:C465, C465)&gt;1, "Duplicate", "Unique")</f>
        <v>Unique</v>
      </c>
      <c r="L465" t="str">
        <f t="shared" si="22"/>
        <v>Normal</v>
      </c>
      <c r="M465" t="str">
        <f t="shared" si="23"/>
        <v>Normal</v>
      </c>
      <c r="N465" s="55"/>
    </row>
    <row r="466" spans="1:14" x14ac:dyDescent="0.3">
      <c r="A466" t="s">
        <v>17</v>
      </c>
      <c r="B466" t="s">
        <v>18</v>
      </c>
      <c r="C466" s="2">
        <v>46041</v>
      </c>
      <c r="D466">
        <v>153.69999999999999</v>
      </c>
      <c r="E466">
        <v>36.799999999999997</v>
      </c>
      <c r="F466" s="8">
        <f t="shared" si="21"/>
        <v>4.1766304347826084</v>
      </c>
      <c r="G466">
        <v>2.4</v>
      </c>
      <c r="H466">
        <v>1</v>
      </c>
      <c r="I466">
        <v>31.8</v>
      </c>
      <c r="J466">
        <v>95.7</v>
      </c>
      <c r="K466" t="str">
        <f>IF(COUNTIFS($A$2:A466, A466, $C$2:C466, C466)&gt;1, "Duplicate", "Unique")</f>
        <v>Unique</v>
      </c>
      <c r="L466" t="str">
        <f t="shared" si="22"/>
        <v>Normal</v>
      </c>
      <c r="M466" t="str">
        <f t="shared" si="23"/>
        <v>Normal</v>
      </c>
      <c r="N466" s="55"/>
    </row>
    <row r="467" spans="1:14" x14ac:dyDescent="0.3">
      <c r="A467" t="s">
        <v>17</v>
      </c>
      <c r="B467" t="s">
        <v>18</v>
      </c>
      <c r="C467" s="2">
        <v>46032</v>
      </c>
      <c r="D467">
        <v>419.4</v>
      </c>
      <c r="E467">
        <v>135.19999999999999</v>
      </c>
      <c r="F467" s="8">
        <f t="shared" si="21"/>
        <v>3.1020710059171597</v>
      </c>
      <c r="G467">
        <v>3.8</v>
      </c>
      <c r="H467">
        <v>4</v>
      </c>
      <c r="I467">
        <v>55.8</v>
      </c>
      <c r="J467">
        <v>87.2</v>
      </c>
      <c r="K467" t="str">
        <f>IF(COUNTIFS($A$2:A467, A467, $C$2:C467, C467)&gt;1, "Duplicate", "Unique")</f>
        <v>Unique</v>
      </c>
      <c r="L467" t="str">
        <f t="shared" si="22"/>
        <v>Normal</v>
      </c>
      <c r="M467" t="str">
        <f t="shared" si="23"/>
        <v>Normal</v>
      </c>
      <c r="N467" s="55"/>
    </row>
    <row r="468" spans="1:14" x14ac:dyDescent="0.3">
      <c r="A468" t="s">
        <v>17</v>
      </c>
      <c r="B468" t="s">
        <v>18</v>
      </c>
      <c r="C468" s="2">
        <v>46112</v>
      </c>
      <c r="D468">
        <v>411.3</v>
      </c>
      <c r="E468">
        <v>96.8</v>
      </c>
      <c r="F468" s="8">
        <f t="shared" si="21"/>
        <v>4.2489669421487601</v>
      </c>
      <c r="G468">
        <v>2.9</v>
      </c>
      <c r="H468">
        <v>2</v>
      </c>
      <c r="I468">
        <v>34.9</v>
      </c>
      <c r="J468">
        <v>88.7</v>
      </c>
      <c r="K468" t="str">
        <f>IF(COUNTIFS($A$2:A468, A468, $C$2:C468, C468)&gt;1, "Duplicate", "Unique")</f>
        <v>Unique</v>
      </c>
      <c r="L468" t="str">
        <f t="shared" si="22"/>
        <v>Normal</v>
      </c>
      <c r="M468" t="str">
        <f t="shared" si="23"/>
        <v>Normal</v>
      </c>
      <c r="N468" s="55"/>
    </row>
    <row r="469" spans="1:14" x14ac:dyDescent="0.3">
      <c r="A469" t="s">
        <v>17</v>
      </c>
      <c r="B469" t="s">
        <v>18</v>
      </c>
      <c r="C469" s="2">
        <v>46044</v>
      </c>
      <c r="D469">
        <v>319.39999999999998</v>
      </c>
      <c r="E469">
        <v>109.4</v>
      </c>
      <c r="F469" s="8">
        <f t="shared" si="21"/>
        <v>2.9195612431444236</v>
      </c>
      <c r="G469">
        <v>4.4000000000000004</v>
      </c>
      <c r="H469">
        <v>7</v>
      </c>
      <c r="I469">
        <v>73.5</v>
      </c>
      <c r="J469">
        <v>90</v>
      </c>
      <c r="K469" t="str">
        <f>IF(COUNTIFS($A$2:A469, A469, $C$2:C469, C469)&gt;1, "Duplicate", "Unique")</f>
        <v>Unique</v>
      </c>
      <c r="L469" t="str">
        <f t="shared" si="22"/>
        <v>Normal</v>
      </c>
      <c r="M469" t="str">
        <f t="shared" si="23"/>
        <v>Suspiciously Low Efficiency</v>
      </c>
      <c r="N469" s="55"/>
    </row>
    <row r="470" spans="1:14" x14ac:dyDescent="0.3">
      <c r="A470" t="s">
        <v>17</v>
      </c>
      <c r="B470" t="s">
        <v>18</v>
      </c>
      <c r="C470" s="2">
        <v>46063</v>
      </c>
      <c r="D470">
        <v>128.80000000000001</v>
      </c>
      <c r="E470">
        <v>25.1</v>
      </c>
      <c r="F470" s="8">
        <f t="shared" si="21"/>
        <v>5.1314741035856573</v>
      </c>
      <c r="G470">
        <v>2.6</v>
      </c>
      <c r="H470">
        <v>6</v>
      </c>
      <c r="I470">
        <v>54.6</v>
      </c>
      <c r="J470">
        <v>87.6</v>
      </c>
      <c r="K470" t="str">
        <f>IF(COUNTIFS($A$2:A470, A470, $C$2:C470, C470)&gt;1, "Duplicate", "Unique")</f>
        <v>Unique</v>
      </c>
      <c r="L470" t="str">
        <f t="shared" si="22"/>
        <v>Normal</v>
      </c>
      <c r="M470" t="str">
        <f t="shared" si="23"/>
        <v>Normal</v>
      </c>
      <c r="N470" s="55"/>
    </row>
    <row r="471" spans="1:14" x14ac:dyDescent="0.3">
      <c r="A471" t="s">
        <v>17</v>
      </c>
      <c r="B471" t="s">
        <v>18</v>
      </c>
      <c r="C471" s="2">
        <v>46098</v>
      </c>
      <c r="D471">
        <v>90.4</v>
      </c>
      <c r="E471">
        <v>19.3</v>
      </c>
      <c r="F471" s="8">
        <f t="shared" si="21"/>
        <v>4.6839378238341967</v>
      </c>
      <c r="G471">
        <v>4.3</v>
      </c>
      <c r="H471">
        <v>3</v>
      </c>
      <c r="I471">
        <v>55.3</v>
      </c>
      <c r="J471">
        <v>87.8</v>
      </c>
      <c r="K471" t="str">
        <f>IF(COUNTIFS($A$2:A471, A471, $C$2:C471, C471)&gt;1, "Duplicate", "Unique")</f>
        <v>Unique</v>
      </c>
      <c r="L471" t="str">
        <f t="shared" si="22"/>
        <v>Normal</v>
      </c>
      <c r="M471" t="str">
        <f t="shared" si="23"/>
        <v>Normal</v>
      </c>
      <c r="N471" s="55"/>
    </row>
    <row r="472" spans="1:14" x14ac:dyDescent="0.3">
      <c r="A472" t="s">
        <v>17</v>
      </c>
      <c r="B472" t="s">
        <v>18</v>
      </c>
      <c r="C472" s="2">
        <v>46106</v>
      </c>
      <c r="D472">
        <v>373.1</v>
      </c>
      <c r="E472">
        <v>97.8</v>
      </c>
      <c r="F472" s="8">
        <f t="shared" si="21"/>
        <v>3.8149284253578735</v>
      </c>
      <c r="G472">
        <v>3</v>
      </c>
      <c r="H472">
        <v>1</v>
      </c>
      <c r="I472">
        <v>56.7</v>
      </c>
      <c r="J472">
        <v>85.7</v>
      </c>
      <c r="K472" t="str">
        <f>IF(COUNTIFS($A$2:A472, A472, $C$2:C472, C472)&gt;1, "Duplicate", "Unique")</f>
        <v>Unique</v>
      </c>
      <c r="L472" t="str">
        <f t="shared" si="22"/>
        <v>Normal</v>
      </c>
      <c r="M472" t="str">
        <f t="shared" si="23"/>
        <v>Normal</v>
      </c>
      <c r="N472" s="55"/>
    </row>
    <row r="473" spans="1:14" x14ac:dyDescent="0.3">
      <c r="A473" t="s">
        <v>17</v>
      </c>
      <c r="B473" t="s">
        <v>18</v>
      </c>
      <c r="C473" s="2">
        <v>46075</v>
      </c>
      <c r="D473">
        <v>189.3</v>
      </c>
      <c r="E473">
        <v>65.099999999999994</v>
      </c>
      <c r="F473" s="8">
        <f t="shared" si="21"/>
        <v>2.9078341013824889</v>
      </c>
      <c r="G473">
        <v>2.2999999999999998</v>
      </c>
      <c r="H473">
        <v>4</v>
      </c>
      <c r="I473">
        <v>61</v>
      </c>
      <c r="J473">
        <v>92.2</v>
      </c>
      <c r="K473" t="str">
        <f>IF(COUNTIFS($A$2:A473, A473, $C$2:C473, C473)&gt;1, "Duplicate", "Unique")</f>
        <v>Unique</v>
      </c>
      <c r="L473" t="str">
        <f t="shared" si="22"/>
        <v>Normal</v>
      </c>
      <c r="M473" t="str">
        <f t="shared" si="23"/>
        <v>Suspiciously Low Efficiency</v>
      </c>
      <c r="N473" s="55"/>
    </row>
    <row r="474" spans="1:14" x14ac:dyDescent="0.3">
      <c r="A474" t="s">
        <v>17</v>
      </c>
      <c r="B474" t="s">
        <v>18</v>
      </c>
      <c r="C474" s="2">
        <v>46079</v>
      </c>
      <c r="D474">
        <v>433.4</v>
      </c>
      <c r="E474">
        <v>123</v>
      </c>
      <c r="F474" s="8">
        <f t="shared" si="21"/>
        <v>3.5235772357723576</v>
      </c>
      <c r="G474">
        <v>3.4</v>
      </c>
      <c r="H474">
        <v>6</v>
      </c>
      <c r="I474">
        <v>66.7</v>
      </c>
      <c r="J474">
        <v>87.7</v>
      </c>
      <c r="K474" t="str">
        <f>IF(COUNTIFS($A$2:A474, A474, $C$2:C474, C474)&gt;1, "Duplicate", "Unique")</f>
        <v>Unique</v>
      </c>
      <c r="L474" t="str">
        <f t="shared" si="22"/>
        <v>Normal</v>
      </c>
      <c r="M474" t="str">
        <f t="shared" si="23"/>
        <v>Normal</v>
      </c>
      <c r="N474" s="55"/>
    </row>
    <row r="475" spans="1:14" x14ac:dyDescent="0.3">
      <c r="A475" t="s">
        <v>17</v>
      </c>
      <c r="B475" t="s">
        <v>18</v>
      </c>
      <c r="C475" s="2">
        <v>46088</v>
      </c>
      <c r="D475">
        <v>377</v>
      </c>
      <c r="E475">
        <v>94.2</v>
      </c>
      <c r="F475" s="8">
        <f t="shared" si="21"/>
        <v>4.0021231422505306</v>
      </c>
      <c r="G475">
        <v>0.4</v>
      </c>
      <c r="H475">
        <v>4</v>
      </c>
      <c r="I475">
        <v>44.4</v>
      </c>
      <c r="J475">
        <v>86.2</v>
      </c>
      <c r="K475" t="str">
        <f>IF(COUNTIFS($A$2:A475, A475, $C$2:C475, C475)&gt;1, "Duplicate", "Unique")</f>
        <v>Unique</v>
      </c>
      <c r="L475" t="str">
        <f t="shared" si="22"/>
        <v>Normal</v>
      </c>
      <c r="M475" t="str">
        <f t="shared" si="23"/>
        <v>Normal</v>
      </c>
      <c r="N475" s="55"/>
    </row>
    <row r="476" spans="1:14" x14ac:dyDescent="0.3">
      <c r="A476" t="s">
        <v>17</v>
      </c>
      <c r="B476" t="s">
        <v>18</v>
      </c>
      <c r="C476" s="2">
        <v>46050</v>
      </c>
      <c r="D476">
        <v>232.7</v>
      </c>
      <c r="E476">
        <v>51.2</v>
      </c>
      <c r="F476" s="8">
        <f t="shared" si="21"/>
        <v>4.5449218749999991</v>
      </c>
      <c r="G476">
        <v>2.4</v>
      </c>
      <c r="H476">
        <v>3</v>
      </c>
      <c r="I476">
        <v>38.299999999999997</v>
      </c>
      <c r="J476">
        <v>94.3</v>
      </c>
      <c r="K476" t="str">
        <f>IF(COUNTIFS($A$2:A476, A476, $C$2:C476, C476)&gt;1, "Duplicate", "Unique")</f>
        <v>Unique</v>
      </c>
      <c r="L476" t="str">
        <f t="shared" si="22"/>
        <v>Normal</v>
      </c>
      <c r="M476" t="str">
        <f t="shared" si="23"/>
        <v>Normal</v>
      </c>
      <c r="N476" s="55"/>
    </row>
    <row r="477" spans="1:14" x14ac:dyDescent="0.3">
      <c r="A477" t="s">
        <v>17</v>
      </c>
      <c r="B477" t="s">
        <v>18</v>
      </c>
      <c r="C477" s="2">
        <v>46094</v>
      </c>
      <c r="D477">
        <v>286.3</v>
      </c>
      <c r="E477">
        <v>57.4</v>
      </c>
      <c r="F477" s="8">
        <f t="shared" si="21"/>
        <v>4.9878048780487809</v>
      </c>
      <c r="G477">
        <v>1.7</v>
      </c>
      <c r="H477">
        <v>7</v>
      </c>
      <c r="I477">
        <v>35.5</v>
      </c>
      <c r="J477">
        <v>98</v>
      </c>
      <c r="K477" t="str">
        <f>IF(COUNTIFS($A$2:A477, A477, $C$2:C477, C477)&gt;1, "Duplicate", "Unique")</f>
        <v>Unique</v>
      </c>
      <c r="L477" t="str">
        <f t="shared" si="22"/>
        <v>Normal</v>
      </c>
      <c r="M477" t="str">
        <f t="shared" si="23"/>
        <v>Normal</v>
      </c>
      <c r="N477" s="55"/>
    </row>
    <row r="478" spans="1:14" x14ac:dyDescent="0.3">
      <c r="A478" t="s">
        <v>17</v>
      </c>
      <c r="B478" t="s">
        <v>18</v>
      </c>
      <c r="C478" s="2">
        <v>46098</v>
      </c>
      <c r="D478">
        <v>272.7</v>
      </c>
      <c r="E478">
        <v>67.900000000000006</v>
      </c>
      <c r="F478" s="8">
        <f t="shared" si="21"/>
        <v>4.0162002945508091</v>
      </c>
      <c r="G478">
        <v>0.9</v>
      </c>
      <c r="H478">
        <v>1</v>
      </c>
      <c r="I478">
        <v>35.6</v>
      </c>
      <c r="J478">
        <v>88.5</v>
      </c>
      <c r="K478" t="str">
        <f>IF(COUNTIFS($A$2:A478, A478, $C$2:C478, C478)&gt;1, "Duplicate", "Unique")</f>
        <v>Duplicate</v>
      </c>
      <c r="L478" t="str">
        <f t="shared" si="22"/>
        <v>Normal</v>
      </c>
      <c r="M478" t="str">
        <f t="shared" si="23"/>
        <v>Normal</v>
      </c>
      <c r="N478" s="55"/>
    </row>
    <row r="479" spans="1:14" x14ac:dyDescent="0.3">
      <c r="A479" t="s">
        <v>17</v>
      </c>
      <c r="B479" t="s">
        <v>18</v>
      </c>
      <c r="C479" s="2">
        <v>46094</v>
      </c>
      <c r="D479">
        <v>355.1</v>
      </c>
      <c r="E479">
        <v>68.2</v>
      </c>
      <c r="F479" s="8">
        <f t="shared" si="21"/>
        <v>5.2067448680351909</v>
      </c>
      <c r="G479">
        <v>3.7</v>
      </c>
      <c r="H479">
        <v>1</v>
      </c>
      <c r="I479">
        <v>67.099999999999994</v>
      </c>
      <c r="J479">
        <v>89</v>
      </c>
      <c r="K479" t="str">
        <f>IF(COUNTIFS($A$2:A479, A479, $C$2:C479, C479)&gt;1, "Duplicate", "Unique")</f>
        <v>Duplicate</v>
      </c>
      <c r="L479" t="str">
        <f t="shared" si="22"/>
        <v>Normal</v>
      </c>
      <c r="M479" t="str">
        <f t="shared" si="23"/>
        <v>Normal</v>
      </c>
      <c r="N479" s="55"/>
    </row>
    <row r="480" spans="1:14" x14ac:dyDescent="0.3">
      <c r="A480" t="s">
        <v>17</v>
      </c>
      <c r="B480" t="s">
        <v>18</v>
      </c>
      <c r="C480" s="2">
        <v>46036</v>
      </c>
      <c r="D480">
        <v>87.1</v>
      </c>
      <c r="E480">
        <v>16.899999999999999</v>
      </c>
      <c r="F480" s="8">
        <f t="shared" si="21"/>
        <v>5.1538461538461542</v>
      </c>
      <c r="G480">
        <v>3</v>
      </c>
      <c r="H480">
        <v>4</v>
      </c>
      <c r="I480">
        <v>74.099999999999994</v>
      </c>
      <c r="J480">
        <v>92.6</v>
      </c>
      <c r="K480" t="str">
        <f>IF(COUNTIFS($A$2:A480, A480, $C$2:C480, C480)&gt;1, "Duplicate", "Unique")</f>
        <v>Unique</v>
      </c>
      <c r="L480" t="str">
        <f t="shared" si="22"/>
        <v>Normal</v>
      </c>
      <c r="M480" t="str">
        <f t="shared" si="23"/>
        <v>Normal</v>
      </c>
      <c r="N480" s="55"/>
    </row>
    <row r="481" spans="1:14" x14ac:dyDescent="0.3">
      <c r="A481" t="s">
        <v>17</v>
      </c>
      <c r="B481" t="s">
        <v>18</v>
      </c>
      <c r="C481" s="2">
        <v>46068</v>
      </c>
      <c r="D481">
        <v>311.3</v>
      </c>
      <c r="E481">
        <v>90.6</v>
      </c>
      <c r="F481" s="8">
        <f t="shared" si="21"/>
        <v>3.4359823399558502</v>
      </c>
      <c r="G481">
        <v>4.4000000000000004</v>
      </c>
      <c r="H481">
        <v>5</v>
      </c>
      <c r="I481">
        <v>66.5</v>
      </c>
      <c r="J481">
        <v>94.4</v>
      </c>
      <c r="K481" t="str">
        <f>IF(COUNTIFS($A$2:A481, A481, $C$2:C481, C481)&gt;1, "Duplicate", "Unique")</f>
        <v>Unique</v>
      </c>
      <c r="L481" t="str">
        <f t="shared" si="22"/>
        <v>Normal</v>
      </c>
      <c r="M481" t="str">
        <f t="shared" si="23"/>
        <v>Normal</v>
      </c>
      <c r="N481" s="55"/>
    </row>
    <row r="482" spans="1:14" x14ac:dyDescent="0.3">
      <c r="A482" t="s">
        <v>17</v>
      </c>
      <c r="B482" t="s">
        <v>18</v>
      </c>
      <c r="C482" s="2">
        <v>46027</v>
      </c>
      <c r="D482">
        <v>114.5</v>
      </c>
      <c r="E482">
        <v>31.7</v>
      </c>
      <c r="F482" s="8">
        <f t="shared" si="21"/>
        <v>3.6119873817034702</v>
      </c>
      <c r="G482">
        <v>1.8</v>
      </c>
      <c r="H482">
        <v>7</v>
      </c>
      <c r="I482">
        <v>66.900000000000006</v>
      </c>
      <c r="J482">
        <v>96.4</v>
      </c>
      <c r="K482" t="str">
        <f>IF(COUNTIFS($A$2:A482, A482, $C$2:C482, C482)&gt;1, "Duplicate", "Unique")</f>
        <v>Unique</v>
      </c>
      <c r="L482" t="str">
        <f t="shared" si="22"/>
        <v>Normal</v>
      </c>
      <c r="M482" t="str">
        <f t="shared" si="23"/>
        <v>Normal</v>
      </c>
      <c r="N482" s="55"/>
    </row>
    <row r="483" spans="1:14" x14ac:dyDescent="0.3">
      <c r="A483" t="s">
        <v>17</v>
      </c>
      <c r="B483" t="s">
        <v>18</v>
      </c>
      <c r="C483" s="2">
        <v>46100</v>
      </c>
      <c r="D483">
        <v>292.60000000000002</v>
      </c>
      <c r="E483">
        <v>70.099999999999994</v>
      </c>
      <c r="F483" s="8">
        <f t="shared" si="21"/>
        <v>4.1740370898716126</v>
      </c>
      <c r="G483">
        <v>1.9</v>
      </c>
      <c r="H483">
        <v>2</v>
      </c>
      <c r="I483">
        <v>44.7</v>
      </c>
      <c r="J483">
        <v>94.7</v>
      </c>
      <c r="K483" t="str">
        <f>IF(COUNTIFS($A$2:A483, A483, $C$2:C483, C483)&gt;1, "Duplicate", "Unique")</f>
        <v>Duplicate</v>
      </c>
      <c r="L483" t="str">
        <f t="shared" si="22"/>
        <v>Normal</v>
      </c>
      <c r="M483" t="str">
        <f t="shared" si="23"/>
        <v>Normal</v>
      </c>
      <c r="N483" s="55"/>
    </row>
    <row r="484" spans="1:14" x14ac:dyDescent="0.3">
      <c r="A484" t="s">
        <v>17</v>
      </c>
      <c r="B484" t="s">
        <v>18</v>
      </c>
      <c r="C484" s="2">
        <v>46037</v>
      </c>
      <c r="D484">
        <v>294.7</v>
      </c>
      <c r="E484">
        <v>54.6</v>
      </c>
      <c r="F484" s="8">
        <f t="shared" si="21"/>
        <v>5.3974358974358969</v>
      </c>
      <c r="G484">
        <v>0.5</v>
      </c>
      <c r="H484">
        <v>5</v>
      </c>
      <c r="I484">
        <v>50.9</v>
      </c>
      <c r="J484">
        <v>86.2</v>
      </c>
      <c r="K484" t="str">
        <f>IF(COUNTIFS($A$2:A484, A484, $C$2:C484, C484)&gt;1, "Duplicate", "Unique")</f>
        <v>Unique</v>
      </c>
      <c r="L484" t="str">
        <f t="shared" si="22"/>
        <v>Normal</v>
      </c>
      <c r="M484" t="str">
        <f t="shared" si="23"/>
        <v>Normal</v>
      </c>
      <c r="N484" s="55"/>
    </row>
    <row r="485" spans="1:14" x14ac:dyDescent="0.3">
      <c r="A485" t="s">
        <v>17</v>
      </c>
      <c r="B485" t="s">
        <v>18</v>
      </c>
      <c r="C485" s="2">
        <v>46078</v>
      </c>
      <c r="D485">
        <v>305.89999999999998</v>
      </c>
      <c r="E485">
        <v>67.099999999999994</v>
      </c>
      <c r="F485" s="8">
        <f t="shared" si="21"/>
        <v>4.5588673621460511</v>
      </c>
      <c r="G485">
        <v>1.4</v>
      </c>
      <c r="H485">
        <v>5</v>
      </c>
      <c r="I485">
        <v>42</v>
      </c>
      <c r="J485">
        <v>86.5</v>
      </c>
      <c r="K485" t="str">
        <f>IF(COUNTIFS($A$2:A485, A485, $C$2:C485, C485)&gt;1, "Duplicate", "Unique")</f>
        <v>Duplicate</v>
      </c>
      <c r="L485" t="str">
        <f t="shared" si="22"/>
        <v>Normal</v>
      </c>
      <c r="M485" t="str">
        <f t="shared" si="23"/>
        <v>Normal</v>
      </c>
      <c r="N485" s="55"/>
    </row>
    <row r="486" spans="1:14" x14ac:dyDescent="0.3">
      <c r="A486" t="s">
        <v>17</v>
      </c>
      <c r="B486" t="s">
        <v>18</v>
      </c>
      <c r="C486" s="2">
        <v>46085</v>
      </c>
      <c r="D486">
        <v>111.4</v>
      </c>
      <c r="E486">
        <v>24.7</v>
      </c>
      <c r="F486" s="8">
        <f t="shared" si="21"/>
        <v>4.5101214574898787</v>
      </c>
      <c r="G486">
        <v>3.4</v>
      </c>
      <c r="H486">
        <v>3</v>
      </c>
      <c r="I486">
        <v>31.6</v>
      </c>
      <c r="J486">
        <v>85.4</v>
      </c>
      <c r="K486" t="str">
        <f>IF(COUNTIFS($A$2:A486, A486, $C$2:C486, C486)&gt;1, "Duplicate", "Unique")</f>
        <v>Unique</v>
      </c>
      <c r="L486" t="str">
        <f t="shared" si="22"/>
        <v>Normal</v>
      </c>
      <c r="M486" t="str">
        <f t="shared" si="23"/>
        <v>Normal</v>
      </c>
      <c r="N486" s="55"/>
    </row>
    <row r="487" spans="1:14" x14ac:dyDescent="0.3">
      <c r="A487" t="s">
        <v>17</v>
      </c>
      <c r="B487" t="s">
        <v>18</v>
      </c>
      <c r="C487" s="2">
        <v>46093</v>
      </c>
      <c r="D487">
        <v>141.1</v>
      </c>
      <c r="E487">
        <v>40.799999999999997</v>
      </c>
      <c r="F487" s="8">
        <f t="shared" si="21"/>
        <v>3.4583333333333335</v>
      </c>
      <c r="G487">
        <v>2.7</v>
      </c>
      <c r="H487">
        <v>3</v>
      </c>
      <c r="I487">
        <v>34.5</v>
      </c>
      <c r="J487">
        <v>97.7</v>
      </c>
      <c r="K487" t="str">
        <f>IF(COUNTIFS($A$2:A487, A487, $C$2:C487, C487)&gt;1, "Duplicate", "Unique")</f>
        <v>Duplicate</v>
      </c>
      <c r="L487" t="str">
        <f t="shared" si="22"/>
        <v>Normal</v>
      </c>
      <c r="M487" t="str">
        <f t="shared" si="23"/>
        <v>Normal</v>
      </c>
      <c r="N487" s="55"/>
    </row>
    <row r="488" spans="1:14" x14ac:dyDescent="0.3">
      <c r="A488" t="s">
        <v>17</v>
      </c>
      <c r="B488" t="s">
        <v>18</v>
      </c>
      <c r="C488" s="2">
        <v>46059</v>
      </c>
      <c r="D488">
        <v>248.7</v>
      </c>
      <c r="E488">
        <v>76.5</v>
      </c>
      <c r="F488" s="8">
        <f t="shared" si="21"/>
        <v>3.2509803921568627</v>
      </c>
      <c r="G488">
        <v>4.2</v>
      </c>
      <c r="H488">
        <v>5</v>
      </c>
      <c r="I488">
        <v>38.200000000000003</v>
      </c>
      <c r="J488">
        <v>87.6</v>
      </c>
      <c r="K488" t="str">
        <f>IF(COUNTIFS($A$2:A488, A488, $C$2:C488, C488)&gt;1, "Duplicate", "Unique")</f>
        <v>Duplicate</v>
      </c>
      <c r="L488" t="str">
        <f t="shared" si="22"/>
        <v>Normal</v>
      </c>
      <c r="M488" t="str">
        <f t="shared" si="23"/>
        <v>Normal</v>
      </c>
      <c r="N488" s="55"/>
    </row>
    <row r="489" spans="1:14" x14ac:dyDescent="0.3">
      <c r="A489" t="s">
        <v>17</v>
      </c>
      <c r="B489" t="s">
        <v>18</v>
      </c>
      <c r="C489" s="2">
        <v>46034</v>
      </c>
      <c r="D489">
        <v>200.8</v>
      </c>
      <c r="E489">
        <v>45.2</v>
      </c>
      <c r="F489" s="8">
        <f t="shared" si="21"/>
        <v>4.4424778761061949</v>
      </c>
      <c r="G489">
        <v>1</v>
      </c>
      <c r="H489">
        <v>4</v>
      </c>
      <c r="I489">
        <v>65.2</v>
      </c>
      <c r="K489" t="str">
        <f>IF(COUNTIFS($A$2:A489, A489, $C$2:C489, C489)&gt;1, "Duplicate", "Unique")</f>
        <v>Unique</v>
      </c>
      <c r="L489" t="str">
        <f t="shared" si="22"/>
        <v>Normal</v>
      </c>
      <c r="M489" t="str">
        <f t="shared" si="23"/>
        <v>Normal</v>
      </c>
      <c r="N489" s="55"/>
    </row>
    <row r="490" spans="1:14" x14ac:dyDescent="0.3">
      <c r="A490" t="s">
        <v>17</v>
      </c>
      <c r="B490" t="s">
        <v>18</v>
      </c>
      <c r="C490" s="2">
        <v>46035</v>
      </c>
      <c r="D490">
        <v>277.7</v>
      </c>
      <c r="E490">
        <v>74.099999999999994</v>
      </c>
      <c r="F490" s="8">
        <f t="shared" si="21"/>
        <v>3.7476383265856952</v>
      </c>
      <c r="G490">
        <v>0.8</v>
      </c>
      <c r="H490">
        <v>3</v>
      </c>
      <c r="I490">
        <v>53.3</v>
      </c>
      <c r="J490">
        <v>90.6</v>
      </c>
      <c r="K490" t="str">
        <f>IF(COUNTIFS($A$2:A490, A490, $C$2:C490, C490)&gt;1, "Duplicate", "Unique")</f>
        <v>Unique</v>
      </c>
      <c r="L490" t="str">
        <f t="shared" si="22"/>
        <v>Normal</v>
      </c>
      <c r="M490" t="str">
        <f t="shared" si="23"/>
        <v>Normal</v>
      </c>
      <c r="N490" s="55"/>
    </row>
    <row r="491" spans="1:14" x14ac:dyDescent="0.3">
      <c r="A491" t="s">
        <v>17</v>
      </c>
      <c r="B491" t="s">
        <v>18</v>
      </c>
      <c r="C491" s="2">
        <v>46100</v>
      </c>
      <c r="D491">
        <v>177.9</v>
      </c>
      <c r="E491">
        <v>61</v>
      </c>
      <c r="F491" s="8">
        <f t="shared" si="21"/>
        <v>2.916393442622951</v>
      </c>
      <c r="G491">
        <v>2.2000000000000002</v>
      </c>
      <c r="H491">
        <v>2</v>
      </c>
      <c r="I491">
        <v>73.8</v>
      </c>
      <c r="J491">
        <v>90.7</v>
      </c>
      <c r="K491" t="str">
        <f>IF(COUNTIFS($A$2:A491, A491, $C$2:C491, C491)&gt;1, "Duplicate", "Unique")</f>
        <v>Duplicate</v>
      </c>
      <c r="L491" t="str">
        <f t="shared" si="22"/>
        <v>Normal</v>
      </c>
      <c r="M491" t="str">
        <f t="shared" si="23"/>
        <v>Suspiciously Low Efficiency</v>
      </c>
      <c r="N491" s="55"/>
    </row>
    <row r="492" spans="1:14" x14ac:dyDescent="0.3">
      <c r="A492" t="s">
        <v>39</v>
      </c>
      <c r="B492" t="s">
        <v>40</v>
      </c>
      <c r="C492" s="2">
        <v>46056</v>
      </c>
      <c r="D492">
        <v>422.8</v>
      </c>
      <c r="E492">
        <v>85.9</v>
      </c>
      <c r="F492" s="8">
        <f t="shared" si="21"/>
        <v>4.9220023282887073</v>
      </c>
      <c r="G492">
        <v>1.4</v>
      </c>
      <c r="H492">
        <v>8</v>
      </c>
      <c r="I492">
        <v>37</v>
      </c>
      <c r="J492">
        <v>89.5</v>
      </c>
      <c r="K492" t="str">
        <f>IF(COUNTIFS($A$2:A492, A492, $C$2:C492, C492)&gt;1, "Duplicate", "Unique")</f>
        <v>Unique</v>
      </c>
      <c r="L492" t="str">
        <f t="shared" si="22"/>
        <v>Normal</v>
      </c>
      <c r="M492" t="str">
        <f t="shared" si="23"/>
        <v>Normal</v>
      </c>
      <c r="N492" s="55"/>
    </row>
    <row r="493" spans="1:14" x14ac:dyDescent="0.3">
      <c r="A493" t="s">
        <v>39</v>
      </c>
      <c r="B493" t="s">
        <v>40</v>
      </c>
      <c r="C493" s="2">
        <v>46065</v>
      </c>
      <c r="D493">
        <v>183.1</v>
      </c>
      <c r="E493">
        <v>61.3</v>
      </c>
      <c r="F493" s="8">
        <f t="shared" si="21"/>
        <v>2.9869494290375203</v>
      </c>
      <c r="G493">
        <v>3.5</v>
      </c>
      <c r="H493">
        <v>6</v>
      </c>
      <c r="I493">
        <v>58.9</v>
      </c>
      <c r="J493">
        <v>91</v>
      </c>
      <c r="K493" t="str">
        <f>IF(COUNTIFS($A$2:A493, A493, $C$2:C493, C493)&gt;1, "Duplicate", "Unique")</f>
        <v>Unique</v>
      </c>
      <c r="L493" t="str">
        <f t="shared" si="22"/>
        <v>Normal</v>
      </c>
      <c r="M493" t="str">
        <f t="shared" si="23"/>
        <v>Suspiciously Low Efficiency</v>
      </c>
      <c r="N493" s="55"/>
    </row>
    <row r="494" spans="1:14" x14ac:dyDescent="0.3">
      <c r="A494" t="s">
        <v>39</v>
      </c>
      <c r="B494" t="s">
        <v>40</v>
      </c>
      <c r="C494" s="2">
        <v>46096</v>
      </c>
      <c r="D494">
        <v>150.30000000000001</v>
      </c>
      <c r="E494">
        <v>51.5</v>
      </c>
      <c r="F494" s="8">
        <f t="shared" si="21"/>
        <v>2.9184466019417479</v>
      </c>
      <c r="G494">
        <v>2.1</v>
      </c>
      <c r="H494">
        <v>4</v>
      </c>
      <c r="I494">
        <v>46.4</v>
      </c>
      <c r="J494">
        <v>86</v>
      </c>
      <c r="K494" t="str">
        <f>IF(COUNTIFS($A$2:A494, A494, $C$2:C494, C494)&gt;1, "Duplicate", "Unique")</f>
        <v>Unique</v>
      </c>
      <c r="L494" t="str">
        <f t="shared" si="22"/>
        <v>Normal</v>
      </c>
      <c r="M494" t="str">
        <f t="shared" si="23"/>
        <v>Suspiciously Low Efficiency</v>
      </c>
      <c r="N494" s="55"/>
    </row>
    <row r="495" spans="1:14" x14ac:dyDescent="0.3">
      <c r="A495" t="s">
        <v>39</v>
      </c>
      <c r="B495" t="s">
        <v>40</v>
      </c>
      <c r="C495" s="2">
        <v>46097</v>
      </c>
      <c r="D495">
        <v>430</v>
      </c>
      <c r="E495">
        <v>150.69999999999999</v>
      </c>
      <c r="F495" s="8">
        <f t="shared" si="21"/>
        <v>2.8533510285335106</v>
      </c>
      <c r="G495">
        <v>4</v>
      </c>
      <c r="H495">
        <v>7</v>
      </c>
      <c r="I495">
        <v>51.5</v>
      </c>
      <c r="J495">
        <v>99.1</v>
      </c>
      <c r="K495" t="str">
        <f>IF(COUNTIFS($A$2:A495, A495, $C$2:C495, C495)&gt;1, "Duplicate", "Unique")</f>
        <v>Unique</v>
      </c>
      <c r="L495" t="str">
        <f t="shared" si="22"/>
        <v>Normal</v>
      </c>
      <c r="M495" t="str">
        <f t="shared" si="23"/>
        <v>Suspiciously Low Efficiency</v>
      </c>
      <c r="N495" s="55"/>
    </row>
    <row r="496" spans="1:14" x14ac:dyDescent="0.3">
      <c r="A496" t="s">
        <v>39</v>
      </c>
      <c r="B496" t="s">
        <v>40</v>
      </c>
      <c r="C496" s="2">
        <v>46073</v>
      </c>
      <c r="D496">
        <v>428.3</v>
      </c>
      <c r="E496">
        <v>128.4</v>
      </c>
      <c r="F496" s="8">
        <f t="shared" si="21"/>
        <v>3.3356697819314642</v>
      </c>
      <c r="G496">
        <v>2.7</v>
      </c>
      <c r="H496">
        <v>4</v>
      </c>
      <c r="I496">
        <v>34.6</v>
      </c>
      <c r="J496">
        <v>96.6</v>
      </c>
      <c r="K496" t="str">
        <f>IF(COUNTIFS($A$2:A496, A496, $C$2:C496, C496)&gt;1, "Duplicate", "Unique")</f>
        <v>Unique</v>
      </c>
      <c r="L496" t="str">
        <f t="shared" si="22"/>
        <v>Normal</v>
      </c>
      <c r="M496" t="str">
        <f t="shared" si="23"/>
        <v>Normal</v>
      </c>
      <c r="N496" s="55"/>
    </row>
    <row r="497" spans="1:14" x14ac:dyDescent="0.3">
      <c r="A497" t="s">
        <v>39</v>
      </c>
      <c r="B497" t="s">
        <v>40</v>
      </c>
      <c r="C497" s="2">
        <v>46081</v>
      </c>
      <c r="D497">
        <v>425.2</v>
      </c>
      <c r="E497">
        <v>82.6</v>
      </c>
      <c r="F497" s="8">
        <f t="shared" si="21"/>
        <v>5.1476997578692494</v>
      </c>
      <c r="G497">
        <v>4.4000000000000004</v>
      </c>
      <c r="H497">
        <v>4</v>
      </c>
      <c r="I497">
        <v>55.7</v>
      </c>
      <c r="J497">
        <v>88.5</v>
      </c>
      <c r="K497" t="str">
        <f>IF(COUNTIFS($A$2:A497, A497, $C$2:C497, C497)&gt;1, "Duplicate", "Unique")</f>
        <v>Unique</v>
      </c>
      <c r="L497" t="str">
        <f t="shared" si="22"/>
        <v>Normal</v>
      </c>
      <c r="M497" t="str">
        <f t="shared" si="23"/>
        <v>Normal</v>
      </c>
      <c r="N497" s="55"/>
    </row>
    <row r="498" spans="1:14" x14ac:dyDescent="0.3">
      <c r="A498" t="s">
        <v>39</v>
      </c>
      <c r="B498" t="s">
        <v>40</v>
      </c>
      <c r="C498" s="2">
        <v>46102</v>
      </c>
      <c r="D498">
        <v>332.8</v>
      </c>
      <c r="E498">
        <v>80.3</v>
      </c>
      <c r="F498" s="8">
        <f t="shared" si="21"/>
        <v>4.1444582814445834</v>
      </c>
      <c r="G498">
        <v>2.7</v>
      </c>
      <c r="H498">
        <v>4</v>
      </c>
      <c r="I498">
        <v>50.8</v>
      </c>
      <c r="J498">
        <v>88.8</v>
      </c>
      <c r="K498" t="str">
        <f>IF(COUNTIFS($A$2:A498, A498, $C$2:C498, C498)&gt;1, "Duplicate", "Unique")</f>
        <v>Unique</v>
      </c>
      <c r="L498" t="str">
        <f t="shared" si="22"/>
        <v>Normal</v>
      </c>
      <c r="M498" t="str">
        <f t="shared" si="23"/>
        <v>Normal</v>
      </c>
      <c r="N498" s="55"/>
    </row>
    <row r="499" spans="1:14" x14ac:dyDescent="0.3">
      <c r="A499" t="s">
        <v>39</v>
      </c>
      <c r="B499" t="s">
        <v>40</v>
      </c>
      <c r="C499" s="2">
        <v>46058</v>
      </c>
      <c r="D499">
        <v>83</v>
      </c>
      <c r="E499">
        <v>16.2</v>
      </c>
      <c r="F499" s="8">
        <f t="shared" si="21"/>
        <v>5.1234567901234573</v>
      </c>
      <c r="G499">
        <v>3.5</v>
      </c>
      <c r="H499">
        <v>1</v>
      </c>
      <c r="I499">
        <v>71</v>
      </c>
      <c r="J499">
        <v>96.2</v>
      </c>
      <c r="K499" t="str">
        <f>IF(COUNTIFS($A$2:A499, A499, $C$2:C499, C499)&gt;1, "Duplicate", "Unique")</f>
        <v>Unique</v>
      </c>
      <c r="L499" t="str">
        <f t="shared" si="22"/>
        <v>Normal</v>
      </c>
      <c r="M499" t="str">
        <f t="shared" si="23"/>
        <v>Normal</v>
      </c>
      <c r="N499" s="55"/>
    </row>
    <row r="500" spans="1:14" x14ac:dyDescent="0.3">
      <c r="A500" t="s">
        <v>39</v>
      </c>
      <c r="B500" t="s">
        <v>40</v>
      </c>
      <c r="C500" s="2">
        <v>46094</v>
      </c>
      <c r="D500">
        <v>215.3</v>
      </c>
      <c r="E500">
        <v>43.6</v>
      </c>
      <c r="F500" s="8">
        <f t="shared" si="21"/>
        <v>4.9380733944954134</v>
      </c>
      <c r="G500">
        <v>0.3</v>
      </c>
      <c r="H500">
        <v>2</v>
      </c>
      <c r="I500">
        <v>50.5</v>
      </c>
      <c r="J500">
        <v>95.1</v>
      </c>
      <c r="K500" t="str">
        <f>IF(COUNTIFS($A$2:A500, A500, $C$2:C500, C500)&gt;1, "Duplicate", "Unique")</f>
        <v>Unique</v>
      </c>
      <c r="L500" t="str">
        <f t="shared" si="22"/>
        <v>Normal</v>
      </c>
      <c r="M500" t="str">
        <f t="shared" si="23"/>
        <v>Normal</v>
      </c>
      <c r="N500" s="55"/>
    </row>
    <row r="501" spans="1:14" x14ac:dyDescent="0.3">
      <c r="A501" t="s">
        <v>39</v>
      </c>
      <c r="B501" t="s">
        <v>40</v>
      </c>
      <c r="C501" s="2">
        <v>46091</v>
      </c>
      <c r="D501">
        <v>340.4</v>
      </c>
      <c r="E501">
        <v>82</v>
      </c>
      <c r="F501" s="8">
        <f t="shared" si="21"/>
        <v>4.1512195121951221</v>
      </c>
      <c r="G501">
        <v>3.8</v>
      </c>
      <c r="H501">
        <v>6</v>
      </c>
      <c r="I501">
        <v>33.200000000000003</v>
      </c>
      <c r="J501">
        <v>97.9</v>
      </c>
      <c r="K501" t="str">
        <f>IF(COUNTIFS($A$2:A501, A501, $C$2:C501, C501)&gt;1, "Duplicate", "Unique")</f>
        <v>Unique</v>
      </c>
      <c r="L501" t="str">
        <f t="shared" si="22"/>
        <v>Normal</v>
      </c>
      <c r="M501" t="str">
        <f t="shared" si="23"/>
        <v>Normal</v>
      </c>
      <c r="N501" s="55"/>
    </row>
    <row r="502" spans="1:14" x14ac:dyDescent="0.3">
      <c r="A502" t="s">
        <v>39</v>
      </c>
      <c r="B502" t="s">
        <v>40</v>
      </c>
      <c r="C502" s="2">
        <v>46039</v>
      </c>
      <c r="D502">
        <v>300.2</v>
      </c>
      <c r="E502">
        <v>56.3</v>
      </c>
      <c r="F502" s="8">
        <f t="shared" si="21"/>
        <v>5.3321492007104796</v>
      </c>
      <c r="G502">
        <v>1.5</v>
      </c>
      <c r="H502">
        <v>7</v>
      </c>
      <c r="I502">
        <v>59</v>
      </c>
      <c r="J502">
        <v>89.9</v>
      </c>
      <c r="K502" t="str">
        <f>IF(COUNTIFS($A$2:A502, A502, $C$2:C502, C502)&gt;1, "Duplicate", "Unique")</f>
        <v>Unique</v>
      </c>
      <c r="L502" t="str">
        <f t="shared" si="22"/>
        <v>Normal</v>
      </c>
      <c r="M502" t="str">
        <f t="shared" si="23"/>
        <v>Normal</v>
      </c>
      <c r="N502" s="55"/>
    </row>
    <row r="503" spans="1:14" x14ac:dyDescent="0.3">
      <c r="A503" t="s">
        <v>39</v>
      </c>
      <c r="B503" t="s">
        <v>40</v>
      </c>
      <c r="C503" s="2">
        <v>46070</v>
      </c>
      <c r="D503">
        <v>173.9</v>
      </c>
      <c r="E503">
        <v>61.1</v>
      </c>
      <c r="F503" s="8">
        <f t="shared" si="21"/>
        <v>2.8461538461538463</v>
      </c>
      <c r="G503">
        <v>3.6</v>
      </c>
      <c r="H503">
        <v>6</v>
      </c>
      <c r="I503">
        <v>40.9</v>
      </c>
      <c r="J503">
        <v>94.9</v>
      </c>
      <c r="K503" t="str">
        <f>IF(COUNTIFS($A$2:A503, A503, $C$2:C503, C503)&gt;1, "Duplicate", "Unique")</f>
        <v>Unique</v>
      </c>
      <c r="L503" t="str">
        <f t="shared" si="22"/>
        <v>Normal</v>
      </c>
      <c r="M503" t="str">
        <f t="shared" si="23"/>
        <v>Suspiciously Low Efficiency</v>
      </c>
      <c r="N503" s="55"/>
    </row>
    <row r="504" spans="1:14" x14ac:dyDescent="0.3">
      <c r="A504" t="s">
        <v>39</v>
      </c>
      <c r="B504" t="s">
        <v>40</v>
      </c>
      <c r="C504" s="2">
        <v>46101</v>
      </c>
      <c r="D504">
        <v>353.5</v>
      </c>
      <c r="E504">
        <v>98</v>
      </c>
      <c r="F504" s="8">
        <f t="shared" si="21"/>
        <v>3.6071428571428572</v>
      </c>
      <c r="G504">
        <v>1.6</v>
      </c>
      <c r="H504">
        <v>8</v>
      </c>
      <c r="I504">
        <v>61.9</v>
      </c>
      <c r="J504">
        <v>89.5</v>
      </c>
      <c r="K504" t="str">
        <f>IF(COUNTIFS($A$2:A504, A504, $C$2:C504, C504)&gt;1, "Duplicate", "Unique")</f>
        <v>Unique</v>
      </c>
      <c r="L504" t="str">
        <f t="shared" si="22"/>
        <v>Normal</v>
      </c>
      <c r="M504" t="str">
        <f t="shared" si="23"/>
        <v>Normal</v>
      </c>
      <c r="N504" s="55"/>
    </row>
    <row r="505" spans="1:14" x14ac:dyDescent="0.3">
      <c r="A505" t="s">
        <v>39</v>
      </c>
      <c r="B505" t="s">
        <v>40</v>
      </c>
      <c r="C505" s="2">
        <v>46077</v>
      </c>
      <c r="D505">
        <v>270.7</v>
      </c>
      <c r="E505">
        <v>89.2</v>
      </c>
      <c r="F505" s="8">
        <f t="shared" si="21"/>
        <v>3.0347533632286994</v>
      </c>
      <c r="G505">
        <v>3.1</v>
      </c>
      <c r="H505">
        <v>3</v>
      </c>
      <c r="I505">
        <v>74.2</v>
      </c>
      <c r="J505">
        <v>92.2</v>
      </c>
      <c r="K505" t="str">
        <f>IF(COUNTIFS($A$2:A505, A505, $C$2:C505, C505)&gt;1, "Duplicate", "Unique")</f>
        <v>Unique</v>
      </c>
      <c r="L505" t="str">
        <f t="shared" si="22"/>
        <v>Normal</v>
      </c>
      <c r="M505" t="str">
        <f t="shared" si="23"/>
        <v>Normal</v>
      </c>
      <c r="N505" s="55"/>
    </row>
    <row r="506" spans="1:14" x14ac:dyDescent="0.3">
      <c r="A506" t="s">
        <v>39</v>
      </c>
      <c r="B506" t="s">
        <v>40</v>
      </c>
      <c r="C506" s="2">
        <v>46071</v>
      </c>
      <c r="D506">
        <v>109.7</v>
      </c>
      <c r="E506">
        <v>20.3</v>
      </c>
      <c r="F506" s="8">
        <f t="shared" si="21"/>
        <v>5.4039408866995071</v>
      </c>
      <c r="G506">
        <v>4</v>
      </c>
      <c r="H506">
        <v>3</v>
      </c>
      <c r="I506">
        <v>59.4</v>
      </c>
      <c r="J506">
        <v>90.2</v>
      </c>
      <c r="K506" t="str">
        <f>IF(COUNTIFS($A$2:A506, A506, $C$2:C506, C506)&gt;1, "Duplicate", "Unique")</f>
        <v>Unique</v>
      </c>
      <c r="L506" t="str">
        <f t="shared" si="22"/>
        <v>Normal</v>
      </c>
      <c r="M506" t="str">
        <f t="shared" si="23"/>
        <v>Normal</v>
      </c>
      <c r="N506" s="55"/>
    </row>
    <row r="507" spans="1:14" x14ac:dyDescent="0.3">
      <c r="A507" t="s">
        <v>39</v>
      </c>
      <c r="B507" t="s">
        <v>40</v>
      </c>
      <c r="C507" s="2">
        <v>46033</v>
      </c>
      <c r="D507">
        <v>218</v>
      </c>
      <c r="E507">
        <v>56</v>
      </c>
      <c r="F507" s="8">
        <f t="shared" si="21"/>
        <v>3.8928571428571428</v>
      </c>
      <c r="G507">
        <v>2.6</v>
      </c>
      <c r="H507">
        <v>4</v>
      </c>
      <c r="I507">
        <v>43.5</v>
      </c>
      <c r="J507">
        <v>97.4</v>
      </c>
      <c r="K507" t="str">
        <f>IF(COUNTIFS($A$2:A507, A507, $C$2:C507, C507)&gt;1, "Duplicate", "Unique")</f>
        <v>Unique</v>
      </c>
      <c r="L507" t="str">
        <f t="shared" si="22"/>
        <v>Normal</v>
      </c>
      <c r="M507" t="str">
        <f t="shared" si="23"/>
        <v>Normal</v>
      </c>
      <c r="N507" s="55"/>
    </row>
    <row r="508" spans="1:14" x14ac:dyDescent="0.3">
      <c r="A508" t="s">
        <v>39</v>
      </c>
      <c r="B508" t="s">
        <v>40</v>
      </c>
      <c r="C508" s="2">
        <v>46040</v>
      </c>
      <c r="D508">
        <v>372.5</v>
      </c>
      <c r="E508">
        <v>79.900000000000006</v>
      </c>
      <c r="F508" s="8">
        <f t="shared" si="21"/>
        <v>4.6620775969962454</v>
      </c>
      <c r="G508">
        <v>0.5</v>
      </c>
      <c r="H508">
        <v>6</v>
      </c>
      <c r="I508">
        <v>32.4</v>
      </c>
      <c r="J508">
        <v>91.6</v>
      </c>
      <c r="K508" t="str">
        <f>IF(COUNTIFS($A$2:A508, A508, $C$2:C508, C508)&gt;1, "Duplicate", "Unique")</f>
        <v>Unique</v>
      </c>
      <c r="L508" t="str">
        <f t="shared" si="22"/>
        <v>Normal</v>
      </c>
      <c r="M508" t="str">
        <f t="shared" si="23"/>
        <v>Normal</v>
      </c>
      <c r="N508" s="55"/>
    </row>
    <row r="509" spans="1:14" x14ac:dyDescent="0.3">
      <c r="A509" t="s">
        <v>39</v>
      </c>
      <c r="B509" t="s">
        <v>40</v>
      </c>
      <c r="C509" s="2">
        <v>46069</v>
      </c>
      <c r="D509">
        <v>122.1</v>
      </c>
      <c r="E509">
        <v>28.2</v>
      </c>
      <c r="F509" s="8">
        <f t="shared" si="21"/>
        <v>4.3297872340425529</v>
      </c>
      <c r="G509">
        <v>2.7</v>
      </c>
      <c r="H509">
        <v>3</v>
      </c>
      <c r="I509">
        <v>60.7</v>
      </c>
      <c r="J509">
        <v>93.3</v>
      </c>
      <c r="K509" t="str">
        <f>IF(COUNTIFS($A$2:A509, A509, $C$2:C509, C509)&gt;1, "Duplicate", "Unique")</f>
        <v>Unique</v>
      </c>
      <c r="L509" t="str">
        <f t="shared" si="22"/>
        <v>Normal</v>
      </c>
      <c r="M509" t="str">
        <f t="shared" si="23"/>
        <v>Normal</v>
      </c>
      <c r="N509" s="55"/>
    </row>
    <row r="510" spans="1:14" x14ac:dyDescent="0.3">
      <c r="A510" t="s">
        <v>39</v>
      </c>
      <c r="B510" t="s">
        <v>40</v>
      </c>
      <c r="C510" s="2">
        <v>46087</v>
      </c>
      <c r="D510">
        <v>186</v>
      </c>
      <c r="E510">
        <v>39.4</v>
      </c>
      <c r="F510" s="8">
        <f t="shared" si="21"/>
        <v>4.7208121827411169</v>
      </c>
      <c r="G510">
        <v>3.5</v>
      </c>
      <c r="H510">
        <v>7</v>
      </c>
      <c r="I510">
        <v>61.6</v>
      </c>
      <c r="J510">
        <v>86.2</v>
      </c>
      <c r="K510" t="str">
        <f>IF(COUNTIFS($A$2:A510, A510, $C$2:C510, C510)&gt;1, "Duplicate", "Unique")</f>
        <v>Unique</v>
      </c>
      <c r="L510" t="str">
        <f t="shared" si="22"/>
        <v>Normal</v>
      </c>
      <c r="M510" t="str">
        <f t="shared" si="23"/>
        <v>Normal</v>
      </c>
      <c r="N510" s="55"/>
    </row>
    <row r="511" spans="1:14" x14ac:dyDescent="0.3">
      <c r="A511" t="s">
        <v>39</v>
      </c>
      <c r="B511" t="s">
        <v>40</v>
      </c>
      <c r="C511" s="2">
        <v>46042</v>
      </c>
      <c r="D511">
        <v>146.19999999999999</v>
      </c>
      <c r="E511">
        <v>27.1</v>
      </c>
      <c r="F511" s="8">
        <f t="shared" si="21"/>
        <v>5.3948339483394827</v>
      </c>
      <c r="G511">
        <v>0.4</v>
      </c>
      <c r="H511">
        <v>7</v>
      </c>
      <c r="I511">
        <v>40.1</v>
      </c>
      <c r="J511">
        <v>88.7</v>
      </c>
      <c r="K511" t="str">
        <f>IF(COUNTIFS($A$2:A511, A511, $C$2:C511, C511)&gt;1, "Duplicate", "Unique")</f>
        <v>Unique</v>
      </c>
      <c r="L511" t="str">
        <f t="shared" si="22"/>
        <v>Normal</v>
      </c>
      <c r="M511" t="str">
        <f t="shared" si="23"/>
        <v>Normal</v>
      </c>
      <c r="N511" s="55"/>
    </row>
    <row r="512" spans="1:14" x14ac:dyDescent="0.3">
      <c r="A512" t="s">
        <v>39</v>
      </c>
      <c r="B512" t="s">
        <v>40</v>
      </c>
      <c r="C512" s="2">
        <v>46040</v>
      </c>
      <c r="D512">
        <v>368.8</v>
      </c>
      <c r="E512">
        <v>87.5</v>
      </c>
      <c r="F512" s="8">
        <f t="shared" si="21"/>
        <v>4.2148571428571433</v>
      </c>
      <c r="G512">
        <v>2.6</v>
      </c>
      <c r="H512">
        <v>3</v>
      </c>
      <c r="I512">
        <v>38.700000000000003</v>
      </c>
      <c r="J512">
        <v>97.5</v>
      </c>
      <c r="K512" t="str">
        <f>IF(COUNTIFS($A$2:A512, A512, $C$2:C512, C512)&gt;1, "Duplicate", "Unique")</f>
        <v>Duplicate</v>
      </c>
      <c r="L512" t="str">
        <f t="shared" si="22"/>
        <v>Normal</v>
      </c>
      <c r="M512" t="str">
        <f t="shared" si="23"/>
        <v>Normal</v>
      </c>
      <c r="N512" s="55"/>
    </row>
    <row r="513" spans="1:14" x14ac:dyDescent="0.3">
      <c r="A513" t="s">
        <v>39</v>
      </c>
      <c r="B513" t="s">
        <v>40</v>
      </c>
      <c r="C513" s="2">
        <v>46025</v>
      </c>
      <c r="D513">
        <v>164.5</v>
      </c>
      <c r="E513">
        <v>34.5</v>
      </c>
      <c r="F513" s="8">
        <f t="shared" si="21"/>
        <v>4.7681159420289854</v>
      </c>
      <c r="G513">
        <v>0.8</v>
      </c>
      <c r="H513">
        <v>1</v>
      </c>
      <c r="I513">
        <v>56.5</v>
      </c>
      <c r="J513">
        <v>87.5</v>
      </c>
      <c r="K513" t="str">
        <f>IF(COUNTIFS($A$2:A513, A513, $C$2:C513, C513)&gt;1, "Duplicate", "Unique")</f>
        <v>Unique</v>
      </c>
      <c r="L513" t="str">
        <f t="shared" si="22"/>
        <v>Normal</v>
      </c>
      <c r="M513" t="str">
        <f t="shared" si="23"/>
        <v>Normal</v>
      </c>
      <c r="N513" s="55"/>
    </row>
    <row r="514" spans="1:14" x14ac:dyDescent="0.3">
      <c r="A514" t="s">
        <v>39</v>
      </c>
      <c r="B514" t="s">
        <v>40</v>
      </c>
      <c r="C514" s="2">
        <v>46074</v>
      </c>
      <c r="D514">
        <v>436.1</v>
      </c>
      <c r="E514">
        <v>123.4</v>
      </c>
      <c r="F514" s="8">
        <f t="shared" si="21"/>
        <v>3.5340356564019451</v>
      </c>
      <c r="G514">
        <v>1.9</v>
      </c>
      <c r="H514">
        <v>8</v>
      </c>
      <c r="I514">
        <v>66</v>
      </c>
      <c r="J514">
        <v>94.7</v>
      </c>
      <c r="K514" t="str">
        <f>IF(COUNTIFS($A$2:A514, A514, $C$2:C514, C514)&gt;1, "Duplicate", "Unique")</f>
        <v>Unique</v>
      </c>
      <c r="L514" t="str">
        <f t="shared" si="22"/>
        <v>Normal</v>
      </c>
      <c r="M514" t="str">
        <f t="shared" si="23"/>
        <v>Normal</v>
      </c>
      <c r="N514" s="55"/>
    </row>
    <row r="515" spans="1:14" x14ac:dyDescent="0.3">
      <c r="A515" t="s">
        <v>39</v>
      </c>
      <c r="B515" t="s">
        <v>40</v>
      </c>
      <c r="C515" s="2">
        <v>46042</v>
      </c>
      <c r="D515">
        <v>390.4</v>
      </c>
      <c r="E515">
        <v>90.6</v>
      </c>
      <c r="F515" s="8">
        <f t="shared" ref="F515:F578" si="24">IFERROR(D515/E515,0)</f>
        <v>4.3090507726269314</v>
      </c>
      <c r="G515">
        <v>4.4000000000000004</v>
      </c>
      <c r="H515">
        <v>1</v>
      </c>
      <c r="I515">
        <v>30.5</v>
      </c>
      <c r="J515">
        <v>99</v>
      </c>
      <c r="K515" t="str">
        <f>IF(COUNTIFS($A$2:A515, A515, $C$2:C515, C515)&gt;1, "Duplicate", "Unique")</f>
        <v>Duplicate</v>
      </c>
      <c r="L515" t="str">
        <f t="shared" ref="L515:L578" si="25">IF(G515 &gt; (AVERAGE($G$2:$G$811) + (3 * _xlfn.STDEV.P($G$2:$G$811))), "Extreme Idle Outlier", "Normal")</f>
        <v>Normal</v>
      </c>
      <c r="M515" t="str">
        <f t="shared" ref="M515:M578" si="26">IFERROR(IF((D515 / E515) &lt; 3, "Suspiciously Low Efficiency", "Normal"),0)</f>
        <v>Normal</v>
      </c>
      <c r="N515" s="55"/>
    </row>
    <row r="516" spans="1:14" x14ac:dyDescent="0.3">
      <c r="A516" t="s">
        <v>39</v>
      </c>
      <c r="B516" t="s">
        <v>40</v>
      </c>
      <c r="C516" s="2">
        <v>46075</v>
      </c>
      <c r="D516">
        <v>93.3</v>
      </c>
      <c r="E516">
        <v>21.8</v>
      </c>
      <c r="F516" s="8">
        <f t="shared" si="24"/>
        <v>4.2798165137614674</v>
      </c>
      <c r="G516">
        <v>3.8</v>
      </c>
      <c r="H516">
        <v>5</v>
      </c>
      <c r="I516">
        <v>70.099999999999994</v>
      </c>
      <c r="J516">
        <v>93.4</v>
      </c>
      <c r="K516" t="str">
        <f>IF(COUNTIFS($A$2:A516, A516, $C$2:C516, C516)&gt;1, "Duplicate", "Unique")</f>
        <v>Unique</v>
      </c>
      <c r="L516" t="str">
        <f t="shared" si="25"/>
        <v>Normal</v>
      </c>
      <c r="M516" t="str">
        <f t="shared" si="26"/>
        <v>Normal</v>
      </c>
      <c r="N516" s="55"/>
    </row>
    <row r="517" spans="1:14" x14ac:dyDescent="0.3">
      <c r="A517" t="s">
        <v>39</v>
      </c>
      <c r="B517" t="s">
        <v>40</v>
      </c>
      <c r="C517" s="2">
        <v>46072</v>
      </c>
      <c r="D517">
        <v>234.1</v>
      </c>
      <c r="E517">
        <v>47.5</v>
      </c>
      <c r="F517" s="8">
        <f t="shared" si="24"/>
        <v>4.9284210526315793</v>
      </c>
      <c r="G517">
        <v>3.1</v>
      </c>
      <c r="H517">
        <v>1</v>
      </c>
      <c r="I517">
        <v>30.6</v>
      </c>
      <c r="J517">
        <v>88.8</v>
      </c>
      <c r="K517" t="str">
        <f>IF(COUNTIFS($A$2:A517, A517, $C$2:C517, C517)&gt;1, "Duplicate", "Unique")</f>
        <v>Unique</v>
      </c>
      <c r="L517" t="str">
        <f t="shared" si="25"/>
        <v>Normal</v>
      </c>
      <c r="M517" t="str">
        <f t="shared" si="26"/>
        <v>Normal</v>
      </c>
      <c r="N517" s="55"/>
    </row>
    <row r="518" spans="1:14" x14ac:dyDescent="0.3">
      <c r="A518" t="s">
        <v>39</v>
      </c>
      <c r="B518" t="s">
        <v>40</v>
      </c>
      <c r="C518" s="2">
        <v>46099</v>
      </c>
      <c r="D518">
        <v>438.6</v>
      </c>
      <c r="E518">
        <v>97</v>
      </c>
      <c r="F518" s="8">
        <f t="shared" si="24"/>
        <v>4.5216494845360824</v>
      </c>
      <c r="G518">
        <v>4</v>
      </c>
      <c r="H518">
        <v>5</v>
      </c>
      <c r="I518">
        <v>72.599999999999994</v>
      </c>
      <c r="J518">
        <v>88.2</v>
      </c>
      <c r="K518" t="str">
        <f>IF(COUNTIFS($A$2:A518, A518, $C$2:C518, C518)&gt;1, "Duplicate", "Unique")</f>
        <v>Unique</v>
      </c>
      <c r="L518" t="str">
        <f t="shared" si="25"/>
        <v>Normal</v>
      </c>
      <c r="M518" t="str">
        <f t="shared" si="26"/>
        <v>Normal</v>
      </c>
      <c r="N518" s="55"/>
    </row>
    <row r="519" spans="1:14" x14ac:dyDescent="0.3">
      <c r="A519" t="s">
        <v>39</v>
      </c>
      <c r="B519" t="s">
        <v>40</v>
      </c>
      <c r="C519" s="2">
        <v>46040</v>
      </c>
      <c r="D519">
        <v>396.3</v>
      </c>
      <c r="E519">
        <v>86.5</v>
      </c>
      <c r="F519" s="8">
        <f t="shared" si="24"/>
        <v>4.5815028901734109</v>
      </c>
      <c r="G519">
        <v>3.4</v>
      </c>
      <c r="H519">
        <v>8</v>
      </c>
      <c r="I519">
        <v>65.2</v>
      </c>
      <c r="J519">
        <v>99.2</v>
      </c>
      <c r="K519" t="str">
        <f>IF(COUNTIFS($A$2:A519, A519, $C$2:C519, C519)&gt;1, "Duplicate", "Unique")</f>
        <v>Duplicate</v>
      </c>
      <c r="L519" t="str">
        <f t="shared" si="25"/>
        <v>Normal</v>
      </c>
      <c r="M519" t="str">
        <f t="shared" si="26"/>
        <v>Normal</v>
      </c>
      <c r="N519" s="55"/>
    </row>
    <row r="520" spans="1:14" x14ac:dyDescent="0.3">
      <c r="A520" t="s">
        <v>39</v>
      </c>
      <c r="B520" t="s">
        <v>40</v>
      </c>
      <c r="C520" s="2">
        <v>46107</v>
      </c>
      <c r="D520">
        <v>261.3</v>
      </c>
      <c r="E520">
        <v>58.3</v>
      </c>
      <c r="F520" s="8">
        <f t="shared" si="24"/>
        <v>4.4819897084048028</v>
      </c>
      <c r="G520">
        <v>2.7</v>
      </c>
      <c r="H520">
        <v>1</v>
      </c>
      <c r="I520">
        <v>46.5</v>
      </c>
      <c r="J520">
        <v>94.1</v>
      </c>
      <c r="K520" t="str">
        <f>IF(COUNTIFS($A$2:A520, A520, $C$2:C520, C520)&gt;1, "Duplicate", "Unique")</f>
        <v>Unique</v>
      </c>
      <c r="L520" t="str">
        <f t="shared" si="25"/>
        <v>Normal</v>
      </c>
      <c r="M520" t="str">
        <f t="shared" si="26"/>
        <v>Normal</v>
      </c>
      <c r="N520" s="55"/>
    </row>
    <row r="521" spans="1:14" x14ac:dyDescent="0.3">
      <c r="A521" t="s">
        <v>39</v>
      </c>
      <c r="B521" t="s">
        <v>40</v>
      </c>
      <c r="C521" s="2">
        <v>46047</v>
      </c>
      <c r="D521">
        <v>151.5</v>
      </c>
      <c r="E521">
        <v>33.1</v>
      </c>
      <c r="F521" s="8">
        <f t="shared" si="24"/>
        <v>4.5770392749244708</v>
      </c>
      <c r="G521">
        <v>2.7</v>
      </c>
      <c r="H521">
        <v>3</v>
      </c>
      <c r="I521">
        <v>55.1</v>
      </c>
      <c r="J521">
        <v>93.4</v>
      </c>
      <c r="K521" t="str">
        <f>IF(COUNTIFS($A$2:A521, A521, $C$2:C521, C521)&gt;1, "Duplicate", "Unique")</f>
        <v>Unique</v>
      </c>
      <c r="L521" t="str">
        <f t="shared" si="25"/>
        <v>Normal</v>
      </c>
      <c r="M521" t="str">
        <f t="shared" si="26"/>
        <v>Normal</v>
      </c>
      <c r="N521" s="55"/>
    </row>
    <row r="522" spans="1:14" x14ac:dyDescent="0.3">
      <c r="A522" t="s">
        <v>39</v>
      </c>
      <c r="B522" t="s">
        <v>40</v>
      </c>
      <c r="C522" s="2">
        <v>46080</v>
      </c>
      <c r="D522">
        <v>358.6</v>
      </c>
      <c r="E522">
        <v>82.4</v>
      </c>
      <c r="F522" s="8">
        <f t="shared" si="24"/>
        <v>4.3519417475728153</v>
      </c>
      <c r="G522">
        <v>0.6</v>
      </c>
      <c r="H522">
        <v>7</v>
      </c>
      <c r="I522">
        <v>43</v>
      </c>
      <c r="J522">
        <v>90.9</v>
      </c>
      <c r="K522" t="str">
        <f>IF(COUNTIFS($A$2:A522, A522, $C$2:C522, C522)&gt;1, "Duplicate", "Unique")</f>
        <v>Unique</v>
      </c>
      <c r="L522" t="str">
        <f t="shared" si="25"/>
        <v>Normal</v>
      </c>
      <c r="M522" t="str">
        <f t="shared" si="26"/>
        <v>Normal</v>
      </c>
      <c r="N522" s="55"/>
    </row>
    <row r="523" spans="1:14" x14ac:dyDescent="0.3">
      <c r="A523" t="s">
        <v>39</v>
      </c>
      <c r="B523" t="s">
        <v>40</v>
      </c>
      <c r="C523" s="2">
        <v>46026</v>
      </c>
      <c r="D523">
        <v>429.3</v>
      </c>
      <c r="E523">
        <v>80.099999999999994</v>
      </c>
      <c r="F523" s="8">
        <f t="shared" si="24"/>
        <v>5.3595505617977537</v>
      </c>
      <c r="G523">
        <v>1.2</v>
      </c>
      <c r="H523">
        <v>6</v>
      </c>
      <c r="I523">
        <v>70.400000000000006</v>
      </c>
      <c r="J523">
        <v>94.9</v>
      </c>
      <c r="K523" t="str">
        <f>IF(COUNTIFS($A$2:A523, A523, $C$2:C523, C523)&gt;1, "Duplicate", "Unique")</f>
        <v>Unique</v>
      </c>
      <c r="L523" t="str">
        <f t="shared" si="25"/>
        <v>Normal</v>
      </c>
      <c r="M523" t="str">
        <f t="shared" si="26"/>
        <v>Normal</v>
      </c>
      <c r="N523" s="55"/>
    </row>
    <row r="524" spans="1:14" x14ac:dyDescent="0.3">
      <c r="A524" t="s">
        <v>39</v>
      </c>
      <c r="B524" t="s">
        <v>40</v>
      </c>
      <c r="C524" s="2">
        <v>46095</v>
      </c>
      <c r="D524">
        <v>307.89999999999998</v>
      </c>
      <c r="E524">
        <v>107</v>
      </c>
      <c r="F524" s="8">
        <f t="shared" si="24"/>
        <v>2.8775700934579436</v>
      </c>
      <c r="G524">
        <v>1</v>
      </c>
      <c r="H524">
        <v>6</v>
      </c>
      <c r="I524">
        <v>67.5</v>
      </c>
      <c r="J524">
        <v>98.8</v>
      </c>
      <c r="K524" t="str">
        <f>IF(COUNTIFS($A$2:A524, A524, $C$2:C524, C524)&gt;1, "Duplicate", "Unique")</f>
        <v>Unique</v>
      </c>
      <c r="L524" t="str">
        <f t="shared" si="25"/>
        <v>Normal</v>
      </c>
      <c r="M524" t="str">
        <f t="shared" si="26"/>
        <v>Suspiciously Low Efficiency</v>
      </c>
      <c r="N524" s="55"/>
    </row>
    <row r="525" spans="1:14" x14ac:dyDescent="0.3">
      <c r="A525" t="s">
        <v>39</v>
      </c>
      <c r="B525" t="s">
        <v>40</v>
      </c>
      <c r="C525" s="2">
        <v>46089</v>
      </c>
      <c r="D525">
        <v>122.9</v>
      </c>
      <c r="E525">
        <v>33.799999999999997</v>
      </c>
      <c r="F525" s="8">
        <f t="shared" si="24"/>
        <v>3.6360946745562135</v>
      </c>
      <c r="G525">
        <v>0.4</v>
      </c>
      <c r="H525">
        <v>2</v>
      </c>
      <c r="I525">
        <v>45</v>
      </c>
      <c r="J525">
        <v>98.3</v>
      </c>
      <c r="K525" t="str">
        <f>IF(COUNTIFS($A$2:A525, A525, $C$2:C525, C525)&gt;1, "Duplicate", "Unique")</f>
        <v>Unique</v>
      </c>
      <c r="L525" t="str">
        <f t="shared" si="25"/>
        <v>Normal</v>
      </c>
      <c r="M525" t="str">
        <f t="shared" si="26"/>
        <v>Normal</v>
      </c>
      <c r="N525" s="55"/>
    </row>
    <row r="526" spans="1:14" x14ac:dyDescent="0.3">
      <c r="A526" t="s">
        <v>39</v>
      </c>
      <c r="B526" t="s">
        <v>40</v>
      </c>
      <c r="C526" s="2">
        <v>46031</v>
      </c>
      <c r="D526">
        <v>206.1</v>
      </c>
      <c r="E526">
        <v>41.2</v>
      </c>
      <c r="F526" s="8">
        <f t="shared" si="24"/>
        <v>5.0024271844660193</v>
      </c>
      <c r="G526">
        <v>2.7</v>
      </c>
      <c r="H526">
        <v>7</v>
      </c>
      <c r="I526">
        <v>55.5</v>
      </c>
      <c r="J526">
        <v>90.1</v>
      </c>
      <c r="K526" t="str">
        <f>IF(COUNTIFS($A$2:A526, A526, $C$2:C526, C526)&gt;1, "Duplicate", "Unique")</f>
        <v>Unique</v>
      </c>
      <c r="L526" t="str">
        <f t="shared" si="25"/>
        <v>Normal</v>
      </c>
      <c r="M526" t="str">
        <f t="shared" si="26"/>
        <v>Normal</v>
      </c>
      <c r="N526" s="55"/>
    </row>
    <row r="527" spans="1:14" x14ac:dyDescent="0.3">
      <c r="A527" t="s">
        <v>15</v>
      </c>
      <c r="B527" t="s">
        <v>16</v>
      </c>
      <c r="C527" s="2">
        <v>46066</v>
      </c>
      <c r="D527">
        <v>182.8</v>
      </c>
      <c r="E527">
        <v>54.1</v>
      </c>
      <c r="F527" s="8">
        <f t="shared" si="24"/>
        <v>3.378927911275416</v>
      </c>
      <c r="G527">
        <v>3.5</v>
      </c>
      <c r="H527">
        <v>2</v>
      </c>
      <c r="I527">
        <v>34.200000000000003</v>
      </c>
      <c r="J527">
        <v>86.5</v>
      </c>
      <c r="K527" t="str">
        <f>IF(COUNTIFS($A$2:A527, A527, $C$2:C527, C527)&gt;1, "Duplicate", "Unique")</f>
        <v>Unique</v>
      </c>
      <c r="L527" t="str">
        <f t="shared" si="25"/>
        <v>Normal</v>
      </c>
      <c r="M527" t="str">
        <f t="shared" si="26"/>
        <v>Normal</v>
      </c>
      <c r="N527" s="55"/>
    </row>
    <row r="528" spans="1:14" x14ac:dyDescent="0.3">
      <c r="A528" t="s">
        <v>15</v>
      </c>
      <c r="B528" t="s">
        <v>16</v>
      </c>
      <c r="C528" s="2">
        <v>46099</v>
      </c>
      <c r="D528">
        <v>103.5</v>
      </c>
      <c r="E528">
        <v>27</v>
      </c>
      <c r="F528" s="8">
        <f t="shared" si="24"/>
        <v>3.8333333333333335</v>
      </c>
      <c r="G528">
        <v>4.5</v>
      </c>
      <c r="H528">
        <v>5</v>
      </c>
      <c r="I528">
        <v>73.7</v>
      </c>
      <c r="J528">
        <v>97.9</v>
      </c>
      <c r="K528" t="str">
        <f>IF(COUNTIFS($A$2:A528, A528, $C$2:C528, C528)&gt;1, "Duplicate", "Unique")</f>
        <v>Unique</v>
      </c>
      <c r="L528" t="str">
        <f t="shared" si="25"/>
        <v>Normal</v>
      </c>
      <c r="M528" t="str">
        <f t="shared" si="26"/>
        <v>Normal</v>
      </c>
      <c r="N528" s="55"/>
    </row>
    <row r="529" spans="1:14" x14ac:dyDescent="0.3">
      <c r="A529" t="s">
        <v>15</v>
      </c>
      <c r="B529" t="s">
        <v>16</v>
      </c>
      <c r="C529" s="2">
        <v>46047</v>
      </c>
      <c r="D529">
        <v>114.9</v>
      </c>
      <c r="E529">
        <v>25.1</v>
      </c>
      <c r="F529" s="8">
        <f t="shared" si="24"/>
        <v>4.5776892430278888</v>
      </c>
      <c r="G529">
        <v>1.7</v>
      </c>
      <c r="H529">
        <v>7</v>
      </c>
      <c r="I529">
        <v>51</v>
      </c>
      <c r="J529">
        <v>95.9</v>
      </c>
      <c r="K529" t="str">
        <f>IF(COUNTIFS($A$2:A529, A529, $C$2:C529, C529)&gt;1, "Duplicate", "Unique")</f>
        <v>Unique</v>
      </c>
      <c r="L529" t="str">
        <f t="shared" si="25"/>
        <v>Normal</v>
      </c>
      <c r="M529" t="str">
        <f t="shared" si="26"/>
        <v>Normal</v>
      </c>
      <c r="N529" s="55"/>
    </row>
    <row r="530" spans="1:14" x14ac:dyDescent="0.3">
      <c r="A530" t="s">
        <v>15</v>
      </c>
      <c r="B530" t="s">
        <v>16</v>
      </c>
      <c r="C530" s="2">
        <v>46108</v>
      </c>
      <c r="D530">
        <v>399.7</v>
      </c>
      <c r="E530">
        <v>80.099999999999994</v>
      </c>
      <c r="F530" s="8">
        <f t="shared" si="24"/>
        <v>4.9900124843945068</v>
      </c>
      <c r="G530">
        <v>1.3</v>
      </c>
      <c r="H530">
        <v>2</v>
      </c>
      <c r="I530">
        <v>47.2</v>
      </c>
      <c r="J530">
        <v>85.6</v>
      </c>
      <c r="K530" t="str">
        <f>IF(COUNTIFS($A$2:A530, A530, $C$2:C530, C530)&gt;1, "Duplicate", "Unique")</f>
        <v>Unique</v>
      </c>
      <c r="L530" t="str">
        <f t="shared" si="25"/>
        <v>Normal</v>
      </c>
      <c r="M530" t="str">
        <f t="shared" si="26"/>
        <v>Normal</v>
      </c>
      <c r="N530" s="55"/>
    </row>
    <row r="531" spans="1:14" x14ac:dyDescent="0.3">
      <c r="A531" t="s">
        <v>15</v>
      </c>
      <c r="B531" t="s">
        <v>16</v>
      </c>
      <c r="C531" s="2">
        <v>46093</v>
      </c>
      <c r="D531">
        <v>202.4</v>
      </c>
      <c r="E531">
        <v>43.1</v>
      </c>
      <c r="F531" s="8">
        <f t="shared" si="24"/>
        <v>4.6960556844547563</v>
      </c>
      <c r="G531">
        <v>1.4</v>
      </c>
      <c r="H531">
        <v>5</v>
      </c>
      <c r="I531">
        <v>40.4</v>
      </c>
      <c r="J531">
        <v>95.8</v>
      </c>
      <c r="K531" t="str">
        <f>IF(COUNTIFS($A$2:A531, A531, $C$2:C531, C531)&gt;1, "Duplicate", "Unique")</f>
        <v>Unique</v>
      </c>
      <c r="L531" t="str">
        <f t="shared" si="25"/>
        <v>Normal</v>
      </c>
      <c r="M531" t="str">
        <f t="shared" si="26"/>
        <v>Normal</v>
      </c>
      <c r="N531" s="55"/>
    </row>
    <row r="532" spans="1:14" x14ac:dyDescent="0.3">
      <c r="A532" t="s">
        <v>15</v>
      </c>
      <c r="B532" t="s">
        <v>16</v>
      </c>
      <c r="C532" s="2">
        <v>46080</v>
      </c>
      <c r="D532">
        <v>335.1</v>
      </c>
      <c r="E532">
        <v>82.4</v>
      </c>
      <c r="F532" s="8">
        <f t="shared" si="24"/>
        <v>4.066747572815534</v>
      </c>
      <c r="G532">
        <v>0.3</v>
      </c>
      <c r="H532">
        <v>5</v>
      </c>
      <c r="I532">
        <v>61.8</v>
      </c>
      <c r="J532">
        <v>95.5</v>
      </c>
      <c r="K532" t="str">
        <f>IF(COUNTIFS($A$2:A532, A532, $C$2:C532, C532)&gt;1, "Duplicate", "Unique")</f>
        <v>Unique</v>
      </c>
      <c r="L532" t="str">
        <f t="shared" si="25"/>
        <v>Normal</v>
      </c>
      <c r="M532" t="str">
        <f t="shared" si="26"/>
        <v>Normal</v>
      </c>
      <c r="N532" s="55"/>
    </row>
    <row r="533" spans="1:14" x14ac:dyDescent="0.3">
      <c r="A533" t="s">
        <v>15</v>
      </c>
      <c r="B533" t="s">
        <v>16</v>
      </c>
      <c r="C533" s="2">
        <v>46066</v>
      </c>
      <c r="D533">
        <v>425.7</v>
      </c>
      <c r="E533">
        <v>102.1</v>
      </c>
      <c r="F533" s="8">
        <f t="shared" si="24"/>
        <v>4.1694417238001957</v>
      </c>
      <c r="G533">
        <v>3.7</v>
      </c>
      <c r="H533">
        <v>5</v>
      </c>
      <c r="I533">
        <v>62.7</v>
      </c>
      <c r="J533">
        <v>97.6</v>
      </c>
      <c r="K533" t="str">
        <f>IF(COUNTIFS($A$2:A533, A533, $C$2:C533, C533)&gt;1, "Duplicate", "Unique")</f>
        <v>Duplicate</v>
      </c>
      <c r="L533" t="str">
        <f t="shared" si="25"/>
        <v>Normal</v>
      </c>
      <c r="M533" t="str">
        <f t="shared" si="26"/>
        <v>Normal</v>
      </c>
      <c r="N533" s="55"/>
    </row>
    <row r="534" spans="1:14" x14ac:dyDescent="0.3">
      <c r="A534" t="s">
        <v>15</v>
      </c>
      <c r="B534" t="s">
        <v>16</v>
      </c>
      <c r="C534" s="2">
        <v>46028</v>
      </c>
      <c r="D534">
        <v>197.7</v>
      </c>
      <c r="E534">
        <v>48.5</v>
      </c>
      <c r="F534" s="8">
        <f t="shared" si="24"/>
        <v>4.0762886597938142</v>
      </c>
      <c r="G534">
        <v>4.0999999999999996</v>
      </c>
      <c r="H534">
        <v>7</v>
      </c>
      <c r="I534">
        <v>47.4</v>
      </c>
      <c r="J534">
        <v>95</v>
      </c>
      <c r="K534" t="str">
        <f>IF(COUNTIFS($A$2:A534, A534, $C$2:C534, C534)&gt;1, "Duplicate", "Unique")</f>
        <v>Unique</v>
      </c>
      <c r="L534" t="str">
        <f t="shared" si="25"/>
        <v>Normal</v>
      </c>
      <c r="M534" t="str">
        <f t="shared" si="26"/>
        <v>Normal</v>
      </c>
      <c r="N534" s="55"/>
    </row>
    <row r="535" spans="1:14" x14ac:dyDescent="0.3">
      <c r="A535" t="s">
        <v>15</v>
      </c>
      <c r="B535" t="s">
        <v>16</v>
      </c>
      <c r="C535" s="2">
        <v>46037</v>
      </c>
      <c r="D535">
        <v>131.69999999999999</v>
      </c>
      <c r="E535">
        <v>24.6</v>
      </c>
      <c r="F535" s="8">
        <f t="shared" si="24"/>
        <v>5.3536585365853648</v>
      </c>
      <c r="G535">
        <v>1.5</v>
      </c>
      <c r="H535">
        <v>8</v>
      </c>
      <c r="I535">
        <v>35.200000000000003</v>
      </c>
      <c r="J535">
        <v>88.5</v>
      </c>
      <c r="K535" t="str">
        <f>IF(COUNTIFS($A$2:A535, A535, $C$2:C535, C535)&gt;1, "Duplicate", "Unique")</f>
        <v>Unique</v>
      </c>
      <c r="L535" t="str">
        <f t="shared" si="25"/>
        <v>Normal</v>
      </c>
      <c r="M535" t="str">
        <f t="shared" si="26"/>
        <v>Normal</v>
      </c>
      <c r="N535" s="55"/>
    </row>
    <row r="536" spans="1:14" x14ac:dyDescent="0.3">
      <c r="A536" t="s">
        <v>15</v>
      </c>
      <c r="B536" t="s">
        <v>16</v>
      </c>
      <c r="C536" s="2">
        <v>46106</v>
      </c>
      <c r="D536">
        <v>116.6</v>
      </c>
      <c r="E536">
        <v>28.3</v>
      </c>
      <c r="F536" s="8">
        <f t="shared" si="24"/>
        <v>4.1201413427561837</v>
      </c>
      <c r="G536">
        <v>2</v>
      </c>
      <c r="H536">
        <v>5</v>
      </c>
      <c r="I536">
        <v>31.5</v>
      </c>
      <c r="J536">
        <v>90.6</v>
      </c>
      <c r="K536" t="str">
        <f>IF(COUNTIFS($A$2:A536, A536, $C$2:C536, C536)&gt;1, "Duplicate", "Unique")</f>
        <v>Unique</v>
      </c>
      <c r="L536" t="str">
        <f t="shared" si="25"/>
        <v>Normal</v>
      </c>
      <c r="M536" t="str">
        <f t="shared" si="26"/>
        <v>Normal</v>
      </c>
      <c r="N536" s="55"/>
    </row>
    <row r="537" spans="1:14" x14ac:dyDescent="0.3">
      <c r="A537" t="s">
        <v>15</v>
      </c>
      <c r="B537" t="s">
        <v>16</v>
      </c>
      <c r="C537" s="2">
        <v>46090</v>
      </c>
      <c r="D537">
        <v>122.1</v>
      </c>
      <c r="E537">
        <v>41.1</v>
      </c>
      <c r="F537" s="8">
        <f t="shared" si="24"/>
        <v>2.9708029197080288</v>
      </c>
      <c r="G537">
        <v>2.1</v>
      </c>
      <c r="H537">
        <v>6</v>
      </c>
      <c r="I537">
        <v>53.1</v>
      </c>
      <c r="J537">
        <v>86.6</v>
      </c>
      <c r="K537" t="str">
        <f>IF(COUNTIFS($A$2:A537, A537, $C$2:C537, C537)&gt;1, "Duplicate", "Unique")</f>
        <v>Unique</v>
      </c>
      <c r="L537" t="str">
        <f t="shared" si="25"/>
        <v>Normal</v>
      </c>
      <c r="M537" t="str">
        <f t="shared" si="26"/>
        <v>Suspiciously Low Efficiency</v>
      </c>
      <c r="N537" s="55"/>
    </row>
    <row r="538" spans="1:14" x14ac:dyDescent="0.3">
      <c r="A538" t="s">
        <v>15</v>
      </c>
      <c r="B538" t="s">
        <v>16</v>
      </c>
      <c r="C538" s="2">
        <v>46085</v>
      </c>
      <c r="D538">
        <v>304.60000000000002</v>
      </c>
      <c r="E538">
        <v>77.7</v>
      </c>
      <c r="F538" s="8">
        <f t="shared" si="24"/>
        <v>3.9202059202059205</v>
      </c>
      <c r="G538">
        <v>1.1000000000000001</v>
      </c>
      <c r="H538">
        <v>2</v>
      </c>
      <c r="I538">
        <v>45.5</v>
      </c>
      <c r="J538">
        <v>86.7</v>
      </c>
      <c r="K538" t="str">
        <f>IF(COUNTIFS($A$2:A538, A538, $C$2:C538, C538)&gt;1, "Duplicate", "Unique")</f>
        <v>Unique</v>
      </c>
      <c r="L538" t="str">
        <f t="shared" si="25"/>
        <v>Normal</v>
      </c>
      <c r="M538" t="str">
        <f t="shared" si="26"/>
        <v>Normal</v>
      </c>
      <c r="N538" s="55"/>
    </row>
    <row r="539" spans="1:14" x14ac:dyDescent="0.3">
      <c r="A539" t="s">
        <v>15</v>
      </c>
      <c r="B539" t="s">
        <v>16</v>
      </c>
      <c r="C539" s="2">
        <v>46060</v>
      </c>
      <c r="D539">
        <v>122.6</v>
      </c>
      <c r="E539">
        <v>42.9</v>
      </c>
      <c r="F539" s="8">
        <f t="shared" si="24"/>
        <v>2.8578088578088576</v>
      </c>
      <c r="G539">
        <v>1.6</v>
      </c>
      <c r="H539">
        <v>8</v>
      </c>
      <c r="I539">
        <v>67.400000000000006</v>
      </c>
      <c r="J539">
        <v>98.8</v>
      </c>
      <c r="K539" t="str">
        <f>IF(COUNTIFS($A$2:A539, A539, $C$2:C539, C539)&gt;1, "Duplicate", "Unique")</f>
        <v>Unique</v>
      </c>
      <c r="L539" t="str">
        <f t="shared" si="25"/>
        <v>Normal</v>
      </c>
      <c r="M539" t="str">
        <f t="shared" si="26"/>
        <v>Suspiciously Low Efficiency</v>
      </c>
      <c r="N539" s="55"/>
    </row>
    <row r="540" spans="1:14" x14ac:dyDescent="0.3">
      <c r="A540" t="s">
        <v>15</v>
      </c>
      <c r="B540" t="s">
        <v>16</v>
      </c>
      <c r="C540" s="2">
        <v>46074</v>
      </c>
      <c r="D540">
        <v>355</v>
      </c>
      <c r="E540">
        <v>68.099999999999994</v>
      </c>
      <c r="F540" s="8">
        <f t="shared" si="24"/>
        <v>5.2129221732745963</v>
      </c>
      <c r="G540">
        <v>1.9</v>
      </c>
      <c r="H540">
        <v>3</v>
      </c>
      <c r="I540">
        <v>52.3</v>
      </c>
      <c r="J540">
        <v>92.5</v>
      </c>
      <c r="K540" t="str">
        <f>IF(COUNTIFS($A$2:A540, A540, $C$2:C540, C540)&gt;1, "Duplicate", "Unique")</f>
        <v>Unique</v>
      </c>
      <c r="L540" t="str">
        <f t="shared" si="25"/>
        <v>Normal</v>
      </c>
      <c r="M540" t="str">
        <f t="shared" si="26"/>
        <v>Normal</v>
      </c>
      <c r="N540" s="55"/>
    </row>
    <row r="541" spans="1:14" x14ac:dyDescent="0.3">
      <c r="A541" t="s">
        <v>15</v>
      </c>
      <c r="B541" t="s">
        <v>16</v>
      </c>
      <c r="C541" s="2">
        <v>46036</v>
      </c>
      <c r="D541">
        <v>83.9</v>
      </c>
      <c r="E541">
        <v>24</v>
      </c>
      <c r="F541" s="8">
        <f t="shared" si="24"/>
        <v>3.4958333333333336</v>
      </c>
      <c r="G541">
        <v>2.4</v>
      </c>
      <c r="H541">
        <v>4</v>
      </c>
      <c r="I541">
        <v>50.1</v>
      </c>
      <c r="J541">
        <v>90.9</v>
      </c>
      <c r="K541" t="str">
        <f>IF(COUNTIFS($A$2:A541, A541, $C$2:C541, C541)&gt;1, "Duplicate", "Unique")</f>
        <v>Unique</v>
      </c>
      <c r="L541" t="str">
        <f t="shared" si="25"/>
        <v>Normal</v>
      </c>
      <c r="M541" t="str">
        <f t="shared" si="26"/>
        <v>Normal</v>
      </c>
      <c r="N541" s="55"/>
    </row>
    <row r="542" spans="1:14" x14ac:dyDescent="0.3">
      <c r="A542" t="s">
        <v>15</v>
      </c>
      <c r="B542" t="s">
        <v>16</v>
      </c>
      <c r="C542" s="2">
        <v>46030</v>
      </c>
      <c r="D542">
        <v>447.2</v>
      </c>
      <c r="E542">
        <v>87</v>
      </c>
      <c r="F542" s="8">
        <f t="shared" si="24"/>
        <v>5.1402298850574715</v>
      </c>
      <c r="G542">
        <v>0.7</v>
      </c>
      <c r="H542">
        <v>3</v>
      </c>
      <c r="I542">
        <v>41.2</v>
      </c>
      <c r="J542">
        <v>95.7</v>
      </c>
      <c r="K542" t="str">
        <f>IF(COUNTIFS($A$2:A542, A542, $C$2:C542, C542)&gt;1, "Duplicate", "Unique")</f>
        <v>Unique</v>
      </c>
      <c r="L542" t="str">
        <f t="shared" si="25"/>
        <v>Normal</v>
      </c>
      <c r="M542" t="str">
        <f t="shared" si="26"/>
        <v>Normal</v>
      </c>
      <c r="N542" s="55"/>
    </row>
    <row r="543" spans="1:14" x14ac:dyDescent="0.3">
      <c r="A543" t="s">
        <v>15</v>
      </c>
      <c r="B543" t="s">
        <v>16</v>
      </c>
      <c r="C543" s="2">
        <v>46048</v>
      </c>
      <c r="D543">
        <v>448.4</v>
      </c>
      <c r="E543">
        <v>85.3</v>
      </c>
      <c r="F543" s="8">
        <f t="shared" si="24"/>
        <v>5.2567409144196953</v>
      </c>
      <c r="G543">
        <v>4</v>
      </c>
      <c r="H543">
        <v>5</v>
      </c>
      <c r="I543">
        <v>37.200000000000003</v>
      </c>
      <c r="J543">
        <v>99</v>
      </c>
      <c r="K543" t="str">
        <f>IF(COUNTIFS($A$2:A543, A543, $C$2:C543, C543)&gt;1, "Duplicate", "Unique")</f>
        <v>Unique</v>
      </c>
      <c r="L543" t="str">
        <f t="shared" si="25"/>
        <v>Normal</v>
      </c>
      <c r="M543" t="str">
        <f t="shared" si="26"/>
        <v>Normal</v>
      </c>
      <c r="N543" s="55"/>
    </row>
    <row r="544" spans="1:14" x14ac:dyDescent="0.3">
      <c r="A544" t="s">
        <v>15</v>
      </c>
      <c r="B544" t="s">
        <v>16</v>
      </c>
      <c r="C544" s="2">
        <v>46057</v>
      </c>
      <c r="D544">
        <v>273.8</v>
      </c>
      <c r="E544">
        <v>78</v>
      </c>
      <c r="F544" s="8">
        <f t="shared" si="24"/>
        <v>3.5102564102564102</v>
      </c>
      <c r="G544">
        <v>4.4000000000000004</v>
      </c>
      <c r="H544">
        <v>2</v>
      </c>
      <c r="I544">
        <v>52.3</v>
      </c>
      <c r="J544">
        <v>92.7</v>
      </c>
      <c r="K544" t="str">
        <f>IF(COUNTIFS($A$2:A544, A544, $C$2:C544, C544)&gt;1, "Duplicate", "Unique")</f>
        <v>Unique</v>
      </c>
      <c r="L544" t="str">
        <f t="shared" si="25"/>
        <v>Normal</v>
      </c>
      <c r="M544" t="str">
        <f t="shared" si="26"/>
        <v>Normal</v>
      </c>
      <c r="N544" s="55"/>
    </row>
    <row r="545" spans="1:14" x14ac:dyDescent="0.3">
      <c r="A545" t="s">
        <v>15</v>
      </c>
      <c r="B545" t="s">
        <v>16</v>
      </c>
      <c r="C545" s="2">
        <v>46044</v>
      </c>
      <c r="D545">
        <v>407.3</v>
      </c>
      <c r="E545">
        <v>98.6</v>
      </c>
      <c r="F545" s="8">
        <f t="shared" si="24"/>
        <v>4.1308316430020291</v>
      </c>
      <c r="G545">
        <v>1.8</v>
      </c>
      <c r="H545">
        <v>7</v>
      </c>
      <c r="I545">
        <v>34.6</v>
      </c>
      <c r="J545">
        <v>92.2</v>
      </c>
      <c r="K545" t="str">
        <f>IF(COUNTIFS($A$2:A545, A545, $C$2:C545, C545)&gt;1, "Duplicate", "Unique")</f>
        <v>Unique</v>
      </c>
      <c r="L545" t="str">
        <f t="shared" si="25"/>
        <v>Normal</v>
      </c>
      <c r="M545" t="str">
        <f t="shared" si="26"/>
        <v>Normal</v>
      </c>
      <c r="N545" s="55"/>
    </row>
    <row r="546" spans="1:14" x14ac:dyDescent="0.3">
      <c r="A546" t="s">
        <v>15</v>
      </c>
      <c r="B546" t="s">
        <v>16</v>
      </c>
      <c r="C546" s="2">
        <v>46085</v>
      </c>
      <c r="D546">
        <v>361</v>
      </c>
      <c r="E546">
        <v>70.2</v>
      </c>
      <c r="F546" s="8">
        <f t="shared" si="24"/>
        <v>5.1424501424501425</v>
      </c>
      <c r="G546">
        <v>3.7</v>
      </c>
      <c r="H546">
        <v>3</v>
      </c>
      <c r="I546">
        <v>33</v>
      </c>
      <c r="J546">
        <v>95.6</v>
      </c>
      <c r="K546" t="str">
        <f>IF(COUNTIFS($A$2:A546, A546, $C$2:C546, C546)&gt;1, "Duplicate", "Unique")</f>
        <v>Duplicate</v>
      </c>
      <c r="L546" t="str">
        <f t="shared" si="25"/>
        <v>Normal</v>
      </c>
      <c r="M546" t="str">
        <f t="shared" si="26"/>
        <v>Normal</v>
      </c>
      <c r="N546" s="55"/>
    </row>
    <row r="547" spans="1:14" x14ac:dyDescent="0.3">
      <c r="A547" t="s">
        <v>15</v>
      </c>
      <c r="B547" t="s">
        <v>16</v>
      </c>
      <c r="C547" s="2">
        <v>46095</v>
      </c>
      <c r="D547">
        <v>410.4</v>
      </c>
      <c r="E547">
        <v>75.099999999999994</v>
      </c>
      <c r="F547" s="8">
        <f t="shared" si="24"/>
        <v>5.4647137150466047</v>
      </c>
      <c r="G547">
        <v>0.8</v>
      </c>
      <c r="H547">
        <v>3</v>
      </c>
      <c r="I547">
        <v>65.099999999999994</v>
      </c>
      <c r="J547">
        <v>92.3</v>
      </c>
      <c r="K547" t="str">
        <f>IF(COUNTIFS($A$2:A547, A547, $C$2:C547, C547)&gt;1, "Duplicate", "Unique")</f>
        <v>Unique</v>
      </c>
      <c r="L547" t="str">
        <f t="shared" si="25"/>
        <v>Normal</v>
      </c>
      <c r="M547" t="str">
        <f t="shared" si="26"/>
        <v>Normal</v>
      </c>
      <c r="N547" s="55"/>
    </row>
    <row r="548" spans="1:14" x14ac:dyDescent="0.3">
      <c r="A548" t="s">
        <v>15</v>
      </c>
      <c r="B548" t="s">
        <v>16</v>
      </c>
      <c r="C548" s="2">
        <v>46037</v>
      </c>
      <c r="D548">
        <v>115.1</v>
      </c>
      <c r="E548">
        <v>23.7</v>
      </c>
      <c r="F548" s="8">
        <f t="shared" si="24"/>
        <v>4.8565400843881852</v>
      </c>
      <c r="G548">
        <v>0.4</v>
      </c>
      <c r="H548">
        <v>3</v>
      </c>
      <c r="I548">
        <v>59.9</v>
      </c>
      <c r="J548">
        <v>87.6</v>
      </c>
      <c r="K548" t="str">
        <f>IF(COUNTIFS($A$2:A548, A548, $C$2:C548, C548)&gt;1, "Duplicate", "Unique")</f>
        <v>Duplicate</v>
      </c>
      <c r="L548" t="str">
        <f t="shared" si="25"/>
        <v>Normal</v>
      </c>
      <c r="M548" t="str">
        <f t="shared" si="26"/>
        <v>Normal</v>
      </c>
      <c r="N548" s="55"/>
    </row>
    <row r="549" spans="1:14" x14ac:dyDescent="0.3">
      <c r="A549" t="s">
        <v>15</v>
      </c>
      <c r="B549" t="s">
        <v>16</v>
      </c>
      <c r="C549" s="2">
        <v>46055</v>
      </c>
      <c r="D549">
        <v>149.9</v>
      </c>
      <c r="E549">
        <v>31.8</v>
      </c>
      <c r="F549" s="8">
        <f t="shared" si="24"/>
        <v>4.7138364779874218</v>
      </c>
      <c r="G549">
        <v>3.6</v>
      </c>
      <c r="H549">
        <v>2</v>
      </c>
      <c r="I549">
        <v>53.4</v>
      </c>
      <c r="J549">
        <v>90.6</v>
      </c>
      <c r="K549" t="str">
        <f>IF(COUNTIFS($A$2:A549, A549, $C$2:C549, C549)&gt;1, "Duplicate", "Unique")</f>
        <v>Unique</v>
      </c>
      <c r="L549" t="str">
        <f t="shared" si="25"/>
        <v>Normal</v>
      </c>
      <c r="M549" t="str">
        <f t="shared" si="26"/>
        <v>Normal</v>
      </c>
      <c r="N549" s="55"/>
    </row>
    <row r="550" spans="1:14" x14ac:dyDescent="0.3">
      <c r="A550" t="s">
        <v>15</v>
      </c>
      <c r="B550" t="s">
        <v>16</v>
      </c>
      <c r="C550" s="2">
        <v>46112</v>
      </c>
      <c r="D550">
        <v>358.3</v>
      </c>
      <c r="E550">
        <v>94.6</v>
      </c>
      <c r="F550" s="8">
        <f t="shared" si="24"/>
        <v>3.7875264270613109</v>
      </c>
      <c r="G550">
        <v>1.9</v>
      </c>
      <c r="H550">
        <v>8</v>
      </c>
      <c r="I550">
        <v>38.1</v>
      </c>
      <c r="J550">
        <v>87</v>
      </c>
      <c r="K550" t="str">
        <f>IF(COUNTIFS($A$2:A550, A550, $C$2:C550, C550)&gt;1, "Duplicate", "Unique")</f>
        <v>Unique</v>
      </c>
      <c r="L550" t="str">
        <f t="shared" si="25"/>
        <v>Normal</v>
      </c>
      <c r="M550" t="str">
        <f t="shared" si="26"/>
        <v>Normal</v>
      </c>
      <c r="N550" s="55"/>
    </row>
    <row r="551" spans="1:14" x14ac:dyDescent="0.3">
      <c r="A551" t="s">
        <v>15</v>
      </c>
      <c r="B551" t="s">
        <v>16</v>
      </c>
      <c r="C551" s="2">
        <v>46073</v>
      </c>
      <c r="D551">
        <v>172.5</v>
      </c>
      <c r="E551">
        <v>36.5</v>
      </c>
      <c r="F551" s="8">
        <f t="shared" si="24"/>
        <v>4.7260273972602738</v>
      </c>
      <c r="G551">
        <v>3</v>
      </c>
      <c r="H551">
        <v>7</v>
      </c>
      <c r="I551">
        <v>39.9</v>
      </c>
      <c r="J551">
        <v>86.2</v>
      </c>
      <c r="K551" t="str">
        <f>IF(COUNTIFS($A$2:A551, A551, $C$2:C551, C551)&gt;1, "Duplicate", "Unique")</f>
        <v>Unique</v>
      </c>
      <c r="L551" t="str">
        <f t="shared" si="25"/>
        <v>Normal</v>
      </c>
      <c r="M551" t="str">
        <f t="shared" si="26"/>
        <v>Normal</v>
      </c>
      <c r="N551" s="55"/>
    </row>
    <row r="552" spans="1:14" x14ac:dyDescent="0.3">
      <c r="A552" t="s">
        <v>15</v>
      </c>
      <c r="B552" t="s">
        <v>16</v>
      </c>
      <c r="C552" s="2">
        <v>46112</v>
      </c>
      <c r="D552">
        <v>128.19999999999999</v>
      </c>
      <c r="E552">
        <v>40.5</v>
      </c>
      <c r="F552" s="8">
        <f t="shared" si="24"/>
        <v>3.1654320987654319</v>
      </c>
      <c r="G552">
        <v>2.6</v>
      </c>
      <c r="H552">
        <v>8</v>
      </c>
      <c r="I552">
        <v>47.8</v>
      </c>
      <c r="J552">
        <v>93.6</v>
      </c>
      <c r="K552" t="str">
        <f>IF(COUNTIFS($A$2:A552, A552, $C$2:C552, C552)&gt;1, "Duplicate", "Unique")</f>
        <v>Duplicate</v>
      </c>
      <c r="L552" t="str">
        <f t="shared" si="25"/>
        <v>Normal</v>
      </c>
      <c r="M552" t="str">
        <f t="shared" si="26"/>
        <v>Normal</v>
      </c>
      <c r="N552" s="55"/>
    </row>
    <row r="553" spans="1:14" x14ac:dyDescent="0.3">
      <c r="A553" t="s">
        <v>15</v>
      </c>
      <c r="B553" t="s">
        <v>16</v>
      </c>
      <c r="C553" s="2">
        <v>46062</v>
      </c>
      <c r="D553">
        <v>416.6</v>
      </c>
      <c r="E553">
        <v>112.9</v>
      </c>
      <c r="F553" s="8">
        <f t="shared" si="24"/>
        <v>3.6899911426040743</v>
      </c>
      <c r="G553">
        <v>2.5</v>
      </c>
      <c r="H553">
        <v>4</v>
      </c>
      <c r="I553">
        <v>59.4</v>
      </c>
      <c r="J553">
        <v>93.7</v>
      </c>
      <c r="K553" t="str">
        <f>IF(COUNTIFS($A$2:A553, A553, $C$2:C553, C553)&gt;1, "Duplicate", "Unique")</f>
        <v>Unique</v>
      </c>
      <c r="L553" t="str">
        <f t="shared" si="25"/>
        <v>Normal</v>
      </c>
      <c r="M553" t="str">
        <f t="shared" si="26"/>
        <v>Normal</v>
      </c>
      <c r="N553" s="55"/>
    </row>
    <row r="554" spans="1:14" x14ac:dyDescent="0.3">
      <c r="A554" t="s">
        <v>15</v>
      </c>
      <c r="B554" t="s">
        <v>16</v>
      </c>
      <c r="C554" s="2">
        <v>46024</v>
      </c>
      <c r="D554">
        <v>422.4</v>
      </c>
      <c r="E554">
        <v>78.7</v>
      </c>
      <c r="F554" s="8">
        <f t="shared" si="24"/>
        <v>5.3672172808132146</v>
      </c>
      <c r="G554">
        <v>1.2</v>
      </c>
      <c r="H554">
        <v>4</v>
      </c>
      <c r="I554">
        <v>64.099999999999994</v>
      </c>
      <c r="J554">
        <v>86</v>
      </c>
      <c r="K554" t="str">
        <f>IF(COUNTIFS($A$2:A554, A554, $C$2:C554, C554)&gt;1, "Duplicate", "Unique")</f>
        <v>Unique</v>
      </c>
      <c r="L554" t="str">
        <f t="shared" si="25"/>
        <v>Normal</v>
      </c>
      <c r="M554" t="str">
        <f t="shared" si="26"/>
        <v>Normal</v>
      </c>
      <c r="N554" s="55"/>
    </row>
    <row r="555" spans="1:14" x14ac:dyDescent="0.3">
      <c r="A555" t="s">
        <v>15</v>
      </c>
      <c r="B555" t="s">
        <v>16</v>
      </c>
      <c r="C555" s="2">
        <v>46028</v>
      </c>
      <c r="D555">
        <v>203.5</v>
      </c>
      <c r="E555">
        <v>47.2</v>
      </c>
      <c r="F555" s="8">
        <f t="shared" si="24"/>
        <v>4.3114406779661012</v>
      </c>
      <c r="G555">
        <v>2.9</v>
      </c>
      <c r="H555">
        <v>1</v>
      </c>
      <c r="I555">
        <v>58.8</v>
      </c>
      <c r="J555">
        <v>95.4</v>
      </c>
      <c r="K555" t="str">
        <f>IF(COUNTIFS($A$2:A555, A555, $C$2:C555, C555)&gt;1, "Duplicate", "Unique")</f>
        <v>Duplicate</v>
      </c>
      <c r="L555" t="str">
        <f t="shared" si="25"/>
        <v>Normal</v>
      </c>
      <c r="M555" t="str">
        <f t="shared" si="26"/>
        <v>Normal</v>
      </c>
      <c r="N555" s="55"/>
    </row>
    <row r="556" spans="1:14" x14ac:dyDescent="0.3">
      <c r="A556" t="s">
        <v>15</v>
      </c>
      <c r="B556" t="s">
        <v>16</v>
      </c>
      <c r="C556" s="2">
        <v>46093</v>
      </c>
      <c r="D556">
        <v>383.4</v>
      </c>
      <c r="E556">
        <v>99.9</v>
      </c>
      <c r="F556" s="8">
        <f t="shared" si="24"/>
        <v>3.8378378378378373</v>
      </c>
      <c r="G556">
        <v>1.2</v>
      </c>
      <c r="H556">
        <v>7</v>
      </c>
      <c r="I556">
        <v>57.2</v>
      </c>
      <c r="J556">
        <v>93.7</v>
      </c>
      <c r="K556" t="str">
        <f>IF(COUNTIFS($A$2:A556, A556, $C$2:C556, C556)&gt;1, "Duplicate", "Unique")</f>
        <v>Duplicate</v>
      </c>
      <c r="L556" t="str">
        <f t="shared" si="25"/>
        <v>Normal</v>
      </c>
      <c r="M556" t="str">
        <f t="shared" si="26"/>
        <v>Normal</v>
      </c>
      <c r="N556" s="55"/>
    </row>
    <row r="557" spans="1:14" x14ac:dyDescent="0.3">
      <c r="A557" t="s">
        <v>15</v>
      </c>
      <c r="B557" t="s">
        <v>16</v>
      </c>
      <c r="C557" s="2">
        <v>46072</v>
      </c>
      <c r="D557">
        <v>168</v>
      </c>
      <c r="E557">
        <v>42.1</v>
      </c>
      <c r="F557" s="8">
        <f t="shared" si="24"/>
        <v>3.9904988123515439</v>
      </c>
      <c r="G557">
        <v>2.9</v>
      </c>
      <c r="H557">
        <v>4</v>
      </c>
      <c r="I557">
        <v>56</v>
      </c>
      <c r="J557">
        <v>97.6</v>
      </c>
      <c r="K557" t="str">
        <f>IF(COUNTIFS($A$2:A557, A557, $C$2:C557, C557)&gt;1, "Duplicate", "Unique")</f>
        <v>Unique</v>
      </c>
      <c r="L557" t="str">
        <f t="shared" si="25"/>
        <v>Normal</v>
      </c>
      <c r="M557" t="str">
        <f t="shared" si="26"/>
        <v>Normal</v>
      </c>
      <c r="N557" s="55"/>
    </row>
    <row r="558" spans="1:14" x14ac:dyDescent="0.3">
      <c r="A558" t="s">
        <v>15</v>
      </c>
      <c r="B558" t="s">
        <v>16</v>
      </c>
      <c r="C558" s="2">
        <v>46070</v>
      </c>
      <c r="D558">
        <v>222.9</v>
      </c>
      <c r="E558">
        <v>78.7</v>
      </c>
      <c r="F558" s="8">
        <f t="shared" si="24"/>
        <v>2.8322744599745868</v>
      </c>
      <c r="G558">
        <v>1.7</v>
      </c>
      <c r="H558">
        <v>5</v>
      </c>
      <c r="I558">
        <v>74</v>
      </c>
      <c r="J558">
        <v>98.1</v>
      </c>
      <c r="K558" t="str">
        <f>IF(COUNTIFS($A$2:A558, A558, $C$2:C558, C558)&gt;1, "Duplicate", "Unique")</f>
        <v>Unique</v>
      </c>
      <c r="L558" t="str">
        <f t="shared" si="25"/>
        <v>Normal</v>
      </c>
      <c r="M558" t="str">
        <f t="shared" si="26"/>
        <v>Suspiciously Low Efficiency</v>
      </c>
      <c r="N558" s="55"/>
    </row>
    <row r="559" spans="1:14" x14ac:dyDescent="0.3">
      <c r="A559" t="s">
        <v>15</v>
      </c>
      <c r="B559" t="s">
        <v>16</v>
      </c>
      <c r="C559" s="2">
        <v>46076</v>
      </c>
      <c r="D559">
        <v>131.6</v>
      </c>
      <c r="E559">
        <v>30</v>
      </c>
      <c r="F559" s="8">
        <f t="shared" si="24"/>
        <v>4.3866666666666667</v>
      </c>
      <c r="G559">
        <v>0.6</v>
      </c>
      <c r="H559">
        <v>4</v>
      </c>
      <c r="I559">
        <v>43.6</v>
      </c>
      <c r="J559">
        <v>99.8</v>
      </c>
      <c r="K559" t="str">
        <f>IF(COUNTIFS($A$2:A559, A559, $C$2:C559, C559)&gt;1, "Duplicate", "Unique")</f>
        <v>Unique</v>
      </c>
      <c r="L559" t="str">
        <f t="shared" si="25"/>
        <v>Normal</v>
      </c>
      <c r="M559" t="str">
        <f t="shared" si="26"/>
        <v>Normal</v>
      </c>
      <c r="N559" s="55"/>
    </row>
    <row r="560" spans="1:14" x14ac:dyDescent="0.3">
      <c r="A560" t="s">
        <v>15</v>
      </c>
      <c r="B560" t="s">
        <v>16</v>
      </c>
      <c r="C560" s="2">
        <v>46066</v>
      </c>
      <c r="D560">
        <v>182.8</v>
      </c>
      <c r="E560">
        <v>54.1</v>
      </c>
      <c r="F560" s="8">
        <f t="shared" si="24"/>
        <v>3.378927911275416</v>
      </c>
      <c r="G560">
        <v>3.5</v>
      </c>
      <c r="H560">
        <v>2</v>
      </c>
      <c r="I560">
        <v>34.200000000000003</v>
      </c>
      <c r="J560">
        <v>86.5</v>
      </c>
      <c r="K560" t="str">
        <f>IF(COUNTIFS($A$2:A560, A560, $C$2:C560, C560)&gt;1, "Duplicate", "Unique")</f>
        <v>Duplicate</v>
      </c>
      <c r="L560" t="str">
        <f t="shared" si="25"/>
        <v>Normal</v>
      </c>
      <c r="M560" t="str">
        <f t="shared" si="26"/>
        <v>Normal</v>
      </c>
      <c r="N560" s="55"/>
    </row>
    <row r="561" spans="1:14" x14ac:dyDescent="0.3">
      <c r="A561" t="s">
        <v>35</v>
      </c>
      <c r="B561" t="s">
        <v>36</v>
      </c>
      <c r="C561" s="2">
        <v>46089</v>
      </c>
      <c r="D561">
        <v>247</v>
      </c>
      <c r="E561">
        <v>71.2</v>
      </c>
      <c r="F561" s="8">
        <f t="shared" si="24"/>
        <v>3.4691011235955056</v>
      </c>
      <c r="G561">
        <v>0.5</v>
      </c>
      <c r="H561">
        <v>1</v>
      </c>
      <c r="I561">
        <v>56.5</v>
      </c>
      <c r="J561">
        <v>88.5</v>
      </c>
      <c r="K561" t="str">
        <f>IF(COUNTIFS($A$2:A561, A561, $C$2:C561, C561)&gt;1, "Duplicate", "Unique")</f>
        <v>Unique</v>
      </c>
      <c r="L561" t="str">
        <f t="shared" si="25"/>
        <v>Normal</v>
      </c>
      <c r="M561" t="str">
        <f t="shared" si="26"/>
        <v>Normal</v>
      </c>
      <c r="N561" s="55"/>
    </row>
    <row r="562" spans="1:14" x14ac:dyDescent="0.3">
      <c r="A562" t="s">
        <v>35</v>
      </c>
      <c r="B562" t="s">
        <v>36</v>
      </c>
      <c r="C562" s="2">
        <v>46093</v>
      </c>
      <c r="D562">
        <v>341.1</v>
      </c>
      <c r="E562">
        <v>79.099999999999994</v>
      </c>
      <c r="F562" s="8">
        <f t="shared" si="24"/>
        <v>4.312262958280658</v>
      </c>
      <c r="G562">
        <v>0.7</v>
      </c>
      <c r="H562">
        <v>3</v>
      </c>
      <c r="I562">
        <v>54.6</v>
      </c>
      <c r="J562">
        <v>97.5</v>
      </c>
      <c r="K562" t="str">
        <f>IF(COUNTIFS($A$2:A562, A562, $C$2:C562, C562)&gt;1, "Duplicate", "Unique")</f>
        <v>Unique</v>
      </c>
      <c r="L562" t="str">
        <f t="shared" si="25"/>
        <v>Normal</v>
      </c>
      <c r="M562" t="str">
        <f t="shared" si="26"/>
        <v>Normal</v>
      </c>
      <c r="N562" s="55"/>
    </row>
    <row r="563" spans="1:14" x14ac:dyDescent="0.3">
      <c r="A563" t="s">
        <v>35</v>
      </c>
      <c r="B563" t="s">
        <v>36</v>
      </c>
      <c r="C563" s="2">
        <v>46046</v>
      </c>
      <c r="D563">
        <v>98.6</v>
      </c>
      <c r="E563">
        <v>25.8</v>
      </c>
      <c r="F563" s="8">
        <f t="shared" si="24"/>
        <v>3.8217054263565888</v>
      </c>
      <c r="G563">
        <v>1.1000000000000001</v>
      </c>
      <c r="H563">
        <v>6</v>
      </c>
      <c r="I563">
        <v>45.2</v>
      </c>
      <c r="J563">
        <v>98.2</v>
      </c>
      <c r="K563" t="str">
        <f>IF(COUNTIFS($A$2:A563, A563, $C$2:C563, C563)&gt;1, "Duplicate", "Unique")</f>
        <v>Unique</v>
      </c>
      <c r="L563" t="str">
        <f t="shared" si="25"/>
        <v>Normal</v>
      </c>
      <c r="M563" t="str">
        <f t="shared" si="26"/>
        <v>Normal</v>
      </c>
      <c r="N563" s="55"/>
    </row>
    <row r="564" spans="1:14" x14ac:dyDescent="0.3">
      <c r="A564" t="s">
        <v>35</v>
      </c>
      <c r="B564" t="s">
        <v>36</v>
      </c>
      <c r="C564" s="2">
        <v>46095</v>
      </c>
      <c r="D564">
        <v>305.8</v>
      </c>
      <c r="E564">
        <v>80</v>
      </c>
      <c r="F564" s="8">
        <f t="shared" si="24"/>
        <v>3.8225000000000002</v>
      </c>
      <c r="G564">
        <v>0.3</v>
      </c>
      <c r="H564">
        <v>6</v>
      </c>
      <c r="I564">
        <v>38.200000000000003</v>
      </c>
      <c r="J564">
        <v>88.2</v>
      </c>
      <c r="K564" t="str">
        <f>IF(COUNTIFS($A$2:A564, A564, $C$2:C564, C564)&gt;1, "Duplicate", "Unique")</f>
        <v>Unique</v>
      </c>
      <c r="L564" t="str">
        <f t="shared" si="25"/>
        <v>Normal</v>
      </c>
      <c r="M564" t="str">
        <f t="shared" si="26"/>
        <v>Normal</v>
      </c>
      <c r="N564" s="55"/>
    </row>
    <row r="565" spans="1:14" x14ac:dyDescent="0.3">
      <c r="A565" t="s">
        <v>35</v>
      </c>
      <c r="B565" t="s">
        <v>36</v>
      </c>
      <c r="C565" s="2">
        <v>46061</v>
      </c>
      <c r="D565">
        <v>398.3</v>
      </c>
      <c r="E565">
        <v>72.8</v>
      </c>
      <c r="F565" s="8">
        <f t="shared" si="24"/>
        <v>5.4711538461538467</v>
      </c>
      <c r="G565">
        <v>1.5</v>
      </c>
      <c r="H565">
        <v>1</v>
      </c>
      <c r="I565">
        <v>57.4</v>
      </c>
      <c r="J565">
        <v>96.1</v>
      </c>
      <c r="K565" t="str">
        <f>IF(COUNTIFS($A$2:A565, A565, $C$2:C565, C565)&gt;1, "Duplicate", "Unique")</f>
        <v>Unique</v>
      </c>
      <c r="L565" t="str">
        <f t="shared" si="25"/>
        <v>Normal</v>
      </c>
      <c r="M565" t="str">
        <f t="shared" si="26"/>
        <v>Normal</v>
      </c>
      <c r="N565" s="55"/>
    </row>
    <row r="566" spans="1:14" x14ac:dyDescent="0.3">
      <c r="A566" t="s">
        <v>35</v>
      </c>
      <c r="B566" t="s">
        <v>36</v>
      </c>
      <c r="C566" s="2">
        <v>46032</v>
      </c>
      <c r="D566">
        <v>334.3</v>
      </c>
      <c r="E566">
        <v>63.1</v>
      </c>
      <c r="F566" s="8">
        <f t="shared" si="24"/>
        <v>5.2979397781299529</v>
      </c>
      <c r="G566">
        <v>3.6</v>
      </c>
      <c r="H566">
        <v>4</v>
      </c>
      <c r="I566">
        <v>49.1</v>
      </c>
      <c r="J566">
        <v>93.2</v>
      </c>
      <c r="K566" t="str">
        <f>IF(COUNTIFS($A$2:A566, A566, $C$2:C566, C566)&gt;1, "Duplicate", "Unique")</f>
        <v>Unique</v>
      </c>
      <c r="L566" t="str">
        <f t="shared" si="25"/>
        <v>Normal</v>
      </c>
      <c r="M566" t="str">
        <f t="shared" si="26"/>
        <v>Normal</v>
      </c>
      <c r="N566" s="55"/>
    </row>
    <row r="567" spans="1:14" x14ac:dyDescent="0.3">
      <c r="A567" t="s">
        <v>35</v>
      </c>
      <c r="B567" t="s">
        <v>36</v>
      </c>
      <c r="C567" s="2">
        <v>46035</v>
      </c>
      <c r="D567">
        <v>274.60000000000002</v>
      </c>
      <c r="E567">
        <v>68.099999999999994</v>
      </c>
      <c r="F567" s="8">
        <f t="shared" si="24"/>
        <v>4.0323054331864912</v>
      </c>
      <c r="G567">
        <v>3.3</v>
      </c>
      <c r="H567">
        <v>7</v>
      </c>
      <c r="I567">
        <v>69.2</v>
      </c>
      <c r="J567">
        <v>99.5</v>
      </c>
      <c r="K567" t="str">
        <f>IF(COUNTIFS($A$2:A567, A567, $C$2:C567, C567)&gt;1, "Duplicate", "Unique")</f>
        <v>Unique</v>
      </c>
      <c r="L567" t="str">
        <f t="shared" si="25"/>
        <v>Normal</v>
      </c>
      <c r="M567" t="str">
        <f t="shared" si="26"/>
        <v>Normal</v>
      </c>
      <c r="N567" s="55"/>
    </row>
    <row r="568" spans="1:14" x14ac:dyDescent="0.3">
      <c r="A568" t="s">
        <v>35</v>
      </c>
      <c r="B568" t="s">
        <v>36</v>
      </c>
      <c r="C568" s="2">
        <v>46079</v>
      </c>
      <c r="D568">
        <v>431.7</v>
      </c>
      <c r="E568">
        <v>84.5</v>
      </c>
      <c r="F568" s="8">
        <f t="shared" si="24"/>
        <v>5.1088757396449704</v>
      </c>
      <c r="G568">
        <v>0.6</v>
      </c>
      <c r="H568">
        <v>6</v>
      </c>
      <c r="I568">
        <v>54.5</v>
      </c>
      <c r="J568">
        <v>99.7</v>
      </c>
      <c r="K568" t="str">
        <f>IF(COUNTIFS($A$2:A568, A568, $C$2:C568, C568)&gt;1, "Duplicate", "Unique")</f>
        <v>Unique</v>
      </c>
      <c r="L568" t="str">
        <f t="shared" si="25"/>
        <v>Normal</v>
      </c>
      <c r="M568" t="str">
        <f t="shared" si="26"/>
        <v>Normal</v>
      </c>
      <c r="N568" s="55"/>
    </row>
    <row r="569" spans="1:14" x14ac:dyDescent="0.3">
      <c r="A569" t="s">
        <v>35</v>
      </c>
      <c r="B569" t="s">
        <v>36</v>
      </c>
      <c r="C569" s="2">
        <v>46112</v>
      </c>
      <c r="D569">
        <v>257.10000000000002</v>
      </c>
      <c r="E569">
        <v>78.099999999999994</v>
      </c>
      <c r="F569" s="8">
        <f t="shared" si="24"/>
        <v>3.2919334186939828</v>
      </c>
      <c r="G569">
        <v>0.8</v>
      </c>
      <c r="H569">
        <v>8</v>
      </c>
      <c r="I569">
        <v>31.7</v>
      </c>
      <c r="J569">
        <v>88</v>
      </c>
      <c r="K569" t="str">
        <f>IF(COUNTIFS($A$2:A569, A569, $C$2:C569, C569)&gt;1, "Duplicate", "Unique")</f>
        <v>Unique</v>
      </c>
      <c r="L569" t="str">
        <f t="shared" si="25"/>
        <v>Normal</v>
      </c>
      <c r="M569" t="str">
        <f t="shared" si="26"/>
        <v>Normal</v>
      </c>
      <c r="N569" s="55"/>
    </row>
    <row r="570" spans="1:14" x14ac:dyDescent="0.3">
      <c r="A570" t="s">
        <v>35</v>
      </c>
      <c r="B570" t="s">
        <v>36</v>
      </c>
      <c r="C570" s="2">
        <v>46028</v>
      </c>
      <c r="D570">
        <v>348.9</v>
      </c>
      <c r="E570">
        <v>66.3</v>
      </c>
      <c r="F570" s="8">
        <f t="shared" si="24"/>
        <v>5.2624434389140271</v>
      </c>
      <c r="G570">
        <v>2.8</v>
      </c>
      <c r="H570">
        <v>7</v>
      </c>
      <c r="I570">
        <v>42.4</v>
      </c>
      <c r="J570">
        <v>99.7</v>
      </c>
      <c r="K570" t="str">
        <f>IF(COUNTIFS($A$2:A570, A570, $C$2:C570, C570)&gt;1, "Duplicate", "Unique")</f>
        <v>Unique</v>
      </c>
      <c r="L570" t="str">
        <f t="shared" si="25"/>
        <v>Normal</v>
      </c>
      <c r="M570" t="str">
        <f t="shared" si="26"/>
        <v>Normal</v>
      </c>
      <c r="N570" s="55"/>
    </row>
    <row r="571" spans="1:14" x14ac:dyDescent="0.3">
      <c r="A571" t="s">
        <v>35</v>
      </c>
      <c r="B571" t="s">
        <v>36</v>
      </c>
      <c r="C571" s="2">
        <v>46054</v>
      </c>
      <c r="D571">
        <v>132.1</v>
      </c>
      <c r="E571">
        <v>45</v>
      </c>
      <c r="F571" s="8">
        <f t="shared" si="24"/>
        <v>2.9355555555555553</v>
      </c>
      <c r="G571">
        <v>4.3</v>
      </c>
      <c r="H571">
        <v>7</v>
      </c>
      <c r="I571">
        <v>41.2</v>
      </c>
      <c r="J571">
        <v>98</v>
      </c>
      <c r="K571" t="str">
        <f>IF(COUNTIFS($A$2:A571, A571, $C$2:C571, C571)&gt;1, "Duplicate", "Unique")</f>
        <v>Unique</v>
      </c>
      <c r="L571" t="str">
        <f t="shared" si="25"/>
        <v>Normal</v>
      </c>
      <c r="M571" t="str">
        <f t="shared" si="26"/>
        <v>Suspiciously Low Efficiency</v>
      </c>
      <c r="N571" s="55"/>
    </row>
    <row r="572" spans="1:14" x14ac:dyDescent="0.3">
      <c r="A572" t="s">
        <v>35</v>
      </c>
      <c r="B572" t="s">
        <v>36</v>
      </c>
      <c r="C572" s="2">
        <v>46109</v>
      </c>
      <c r="D572">
        <v>346.1</v>
      </c>
      <c r="E572">
        <v>87.7</v>
      </c>
      <c r="F572" s="8">
        <f t="shared" si="24"/>
        <v>3.9464082098061577</v>
      </c>
      <c r="G572">
        <v>1.8</v>
      </c>
      <c r="H572">
        <v>4</v>
      </c>
      <c r="I572">
        <v>41.1</v>
      </c>
      <c r="J572">
        <v>90.2</v>
      </c>
      <c r="K572" t="str">
        <f>IF(COUNTIFS($A$2:A572, A572, $C$2:C572, C572)&gt;1, "Duplicate", "Unique")</f>
        <v>Unique</v>
      </c>
      <c r="L572" t="str">
        <f t="shared" si="25"/>
        <v>Normal</v>
      </c>
      <c r="M572" t="str">
        <f t="shared" si="26"/>
        <v>Normal</v>
      </c>
      <c r="N572" s="55"/>
    </row>
    <row r="573" spans="1:14" x14ac:dyDescent="0.3">
      <c r="A573" t="s">
        <v>35</v>
      </c>
      <c r="B573" t="s">
        <v>36</v>
      </c>
      <c r="C573" s="2">
        <v>46052</v>
      </c>
      <c r="D573">
        <v>279.7</v>
      </c>
      <c r="E573">
        <v>57.8</v>
      </c>
      <c r="F573" s="8">
        <f t="shared" si="24"/>
        <v>4.8391003460207616</v>
      </c>
      <c r="G573">
        <v>3.5</v>
      </c>
      <c r="H573">
        <v>3</v>
      </c>
      <c r="I573">
        <v>52.7</v>
      </c>
      <c r="J573">
        <v>89.3</v>
      </c>
      <c r="K573" t="str">
        <f>IF(COUNTIFS($A$2:A573, A573, $C$2:C573, C573)&gt;1, "Duplicate", "Unique")</f>
        <v>Unique</v>
      </c>
      <c r="L573" t="str">
        <f t="shared" si="25"/>
        <v>Normal</v>
      </c>
      <c r="M573" t="str">
        <f t="shared" si="26"/>
        <v>Normal</v>
      </c>
      <c r="N573" s="55"/>
    </row>
    <row r="574" spans="1:14" x14ac:dyDescent="0.3">
      <c r="A574" t="s">
        <v>35</v>
      </c>
      <c r="B574" t="s">
        <v>36</v>
      </c>
      <c r="C574" s="2">
        <v>46030</v>
      </c>
      <c r="D574">
        <v>288.10000000000002</v>
      </c>
      <c r="E574">
        <v>53.2</v>
      </c>
      <c r="F574" s="8">
        <f t="shared" si="24"/>
        <v>5.4154135338345863</v>
      </c>
      <c r="G574">
        <v>2.6</v>
      </c>
      <c r="H574">
        <v>3</v>
      </c>
      <c r="I574">
        <v>47.5</v>
      </c>
      <c r="J574">
        <v>88.8</v>
      </c>
      <c r="K574" t="str">
        <f>IF(COUNTIFS($A$2:A574, A574, $C$2:C574, C574)&gt;1, "Duplicate", "Unique")</f>
        <v>Unique</v>
      </c>
      <c r="L574" t="str">
        <f t="shared" si="25"/>
        <v>Normal</v>
      </c>
      <c r="M574" t="str">
        <f t="shared" si="26"/>
        <v>Normal</v>
      </c>
      <c r="N574" s="55"/>
    </row>
    <row r="575" spans="1:14" x14ac:dyDescent="0.3">
      <c r="A575" t="s">
        <v>35</v>
      </c>
      <c r="B575" t="s">
        <v>36</v>
      </c>
      <c r="C575" s="2">
        <v>46085</v>
      </c>
      <c r="D575">
        <v>164.4</v>
      </c>
      <c r="E575">
        <v>38.299999999999997</v>
      </c>
      <c r="F575" s="8">
        <f t="shared" si="24"/>
        <v>4.2924281984334209</v>
      </c>
      <c r="G575">
        <v>1.8</v>
      </c>
      <c r="H575">
        <v>3</v>
      </c>
      <c r="I575">
        <v>60.6</v>
      </c>
      <c r="J575">
        <v>94.9</v>
      </c>
      <c r="K575" t="str">
        <f>IF(COUNTIFS($A$2:A575, A575, $C$2:C575, C575)&gt;1, "Duplicate", "Unique")</f>
        <v>Unique</v>
      </c>
      <c r="L575" t="str">
        <f t="shared" si="25"/>
        <v>Normal</v>
      </c>
      <c r="M575" t="str">
        <f t="shared" si="26"/>
        <v>Normal</v>
      </c>
      <c r="N575" s="55"/>
    </row>
    <row r="576" spans="1:14" x14ac:dyDescent="0.3">
      <c r="A576" t="s">
        <v>35</v>
      </c>
      <c r="B576" t="s">
        <v>36</v>
      </c>
      <c r="C576" s="2">
        <v>46049</v>
      </c>
      <c r="D576">
        <v>242.2</v>
      </c>
      <c r="E576">
        <v>67.5</v>
      </c>
      <c r="F576" s="8">
        <f t="shared" si="24"/>
        <v>3.5881481481481479</v>
      </c>
      <c r="G576">
        <v>3.2</v>
      </c>
      <c r="H576">
        <v>7</v>
      </c>
      <c r="I576">
        <v>60.3</v>
      </c>
      <c r="J576">
        <v>87.1</v>
      </c>
      <c r="K576" t="str">
        <f>IF(COUNTIFS($A$2:A576, A576, $C$2:C576, C576)&gt;1, "Duplicate", "Unique")</f>
        <v>Unique</v>
      </c>
      <c r="L576" t="str">
        <f t="shared" si="25"/>
        <v>Normal</v>
      </c>
      <c r="M576" t="str">
        <f t="shared" si="26"/>
        <v>Normal</v>
      </c>
      <c r="N576" s="55"/>
    </row>
    <row r="577" spans="1:14" x14ac:dyDescent="0.3">
      <c r="A577" t="s">
        <v>35</v>
      </c>
      <c r="B577" t="s">
        <v>36</v>
      </c>
      <c r="C577" s="2">
        <v>46085</v>
      </c>
      <c r="D577">
        <v>141.9</v>
      </c>
      <c r="E577">
        <v>32.799999999999997</v>
      </c>
      <c r="F577" s="8">
        <f t="shared" si="24"/>
        <v>4.3262195121951228</v>
      </c>
      <c r="G577">
        <v>3.6</v>
      </c>
      <c r="H577">
        <v>4</v>
      </c>
      <c r="I577">
        <v>43.1</v>
      </c>
      <c r="J577">
        <v>89.1</v>
      </c>
      <c r="K577" t="str">
        <f>IF(COUNTIFS($A$2:A577, A577, $C$2:C577, C577)&gt;1, "Duplicate", "Unique")</f>
        <v>Duplicate</v>
      </c>
      <c r="L577" t="str">
        <f t="shared" si="25"/>
        <v>Normal</v>
      </c>
      <c r="M577" t="str">
        <f t="shared" si="26"/>
        <v>Normal</v>
      </c>
      <c r="N577" s="55"/>
    </row>
    <row r="578" spans="1:14" x14ac:dyDescent="0.3">
      <c r="A578" t="s">
        <v>35</v>
      </c>
      <c r="B578" t="s">
        <v>36</v>
      </c>
      <c r="C578" s="2">
        <v>46050</v>
      </c>
      <c r="D578">
        <v>112.1</v>
      </c>
      <c r="E578">
        <v>36.5</v>
      </c>
      <c r="F578" s="8">
        <f t="shared" si="24"/>
        <v>3.0712328767123287</v>
      </c>
      <c r="G578">
        <v>3.4</v>
      </c>
      <c r="H578">
        <v>7</v>
      </c>
      <c r="I578">
        <v>45.8</v>
      </c>
      <c r="J578">
        <v>91.4</v>
      </c>
      <c r="K578" t="str">
        <f>IF(COUNTIFS($A$2:A578, A578, $C$2:C578, C578)&gt;1, "Duplicate", "Unique")</f>
        <v>Unique</v>
      </c>
      <c r="L578" t="str">
        <f t="shared" si="25"/>
        <v>Normal</v>
      </c>
      <c r="M578" t="str">
        <f t="shared" si="26"/>
        <v>Normal</v>
      </c>
      <c r="N578" s="55"/>
    </row>
    <row r="579" spans="1:14" x14ac:dyDescent="0.3">
      <c r="A579" t="s">
        <v>35</v>
      </c>
      <c r="B579" t="s">
        <v>36</v>
      </c>
      <c r="C579" s="2">
        <v>46063</v>
      </c>
      <c r="D579">
        <v>230.4</v>
      </c>
      <c r="E579">
        <v>54.3</v>
      </c>
      <c r="F579" s="8">
        <f t="shared" ref="F579:F642" si="27">IFERROR(D579/E579,0)</f>
        <v>4.2430939226519344</v>
      </c>
      <c r="H579">
        <v>4</v>
      </c>
      <c r="I579">
        <v>50.3</v>
      </c>
      <c r="J579">
        <v>92</v>
      </c>
      <c r="K579" t="str">
        <f>IF(COUNTIFS($A$2:A579, A579, $C$2:C579, C579)&gt;1, "Duplicate", "Unique")</f>
        <v>Unique</v>
      </c>
      <c r="L579" t="str">
        <f t="shared" ref="L579:L642" si="28">IF(G579 &gt; (AVERAGE($G$2:$G$811) + (3 * _xlfn.STDEV.P($G$2:$G$811))), "Extreme Idle Outlier", "Normal")</f>
        <v>Normal</v>
      </c>
      <c r="M579" t="str">
        <f t="shared" ref="M579:M642" si="29">IFERROR(IF((D579 / E579) &lt; 3, "Suspiciously Low Efficiency", "Normal"),0)</f>
        <v>Normal</v>
      </c>
      <c r="N579" s="55"/>
    </row>
    <row r="580" spans="1:14" x14ac:dyDescent="0.3">
      <c r="A580" t="s">
        <v>35</v>
      </c>
      <c r="B580" t="s">
        <v>36</v>
      </c>
      <c r="C580" s="2">
        <v>46038</v>
      </c>
      <c r="D580">
        <v>254.1</v>
      </c>
      <c r="E580">
        <v>49.4</v>
      </c>
      <c r="F580" s="8">
        <f t="shared" si="27"/>
        <v>5.1437246963562755</v>
      </c>
      <c r="G580">
        <v>2.7</v>
      </c>
      <c r="H580">
        <v>2</v>
      </c>
      <c r="I580">
        <v>51.2</v>
      </c>
      <c r="J580">
        <v>87.9</v>
      </c>
      <c r="K580" t="str">
        <f>IF(COUNTIFS($A$2:A580, A580, $C$2:C580, C580)&gt;1, "Duplicate", "Unique")</f>
        <v>Unique</v>
      </c>
      <c r="L580" t="str">
        <f t="shared" si="28"/>
        <v>Normal</v>
      </c>
      <c r="M580" t="str">
        <f t="shared" si="29"/>
        <v>Normal</v>
      </c>
      <c r="N580" s="55"/>
    </row>
    <row r="581" spans="1:14" x14ac:dyDescent="0.3">
      <c r="A581" t="s">
        <v>35</v>
      </c>
      <c r="B581" t="s">
        <v>36</v>
      </c>
      <c r="C581" s="2">
        <v>46066</v>
      </c>
      <c r="D581">
        <v>214.4</v>
      </c>
      <c r="E581">
        <v>72.8</v>
      </c>
      <c r="F581" s="8">
        <f t="shared" si="27"/>
        <v>2.9450549450549453</v>
      </c>
      <c r="G581">
        <v>1.2</v>
      </c>
      <c r="H581">
        <v>8</v>
      </c>
      <c r="I581">
        <v>44.9</v>
      </c>
      <c r="J581">
        <v>96.5</v>
      </c>
      <c r="K581" t="str">
        <f>IF(COUNTIFS($A$2:A581, A581, $C$2:C581, C581)&gt;1, "Duplicate", "Unique")</f>
        <v>Unique</v>
      </c>
      <c r="L581" t="str">
        <f t="shared" si="28"/>
        <v>Normal</v>
      </c>
      <c r="M581" t="str">
        <f t="shared" si="29"/>
        <v>Suspiciously Low Efficiency</v>
      </c>
      <c r="N581" s="55"/>
    </row>
    <row r="582" spans="1:14" x14ac:dyDescent="0.3">
      <c r="A582" t="s">
        <v>35</v>
      </c>
      <c r="B582" t="s">
        <v>36</v>
      </c>
      <c r="C582" s="2">
        <v>46071</v>
      </c>
      <c r="D582">
        <v>226.2</v>
      </c>
      <c r="E582">
        <v>49.3</v>
      </c>
      <c r="F582" s="8">
        <f t="shared" si="27"/>
        <v>4.5882352941176467</v>
      </c>
      <c r="G582">
        <v>2.2000000000000002</v>
      </c>
      <c r="H582">
        <v>4</v>
      </c>
      <c r="I582">
        <v>36.1</v>
      </c>
      <c r="J582">
        <v>90.9</v>
      </c>
      <c r="K582" t="str">
        <f>IF(COUNTIFS($A$2:A582, A582, $C$2:C582, C582)&gt;1, "Duplicate", "Unique")</f>
        <v>Unique</v>
      </c>
      <c r="L582" t="str">
        <f t="shared" si="28"/>
        <v>Normal</v>
      </c>
      <c r="M582" t="str">
        <f t="shared" si="29"/>
        <v>Normal</v>
      </c>
      <c r="N582" s="55"/>
    </row>
    <row r="583" spans="1:14" x14ac:dyDescent="0.3">
      <c r="A583" t="s">
        <v>35</v>
      </c>
      <c r="B583" t="s">
        <v>36</v>
      </c>
      <c r="C583" s="2">
        <v>46110</v>
      </c>
      <c r="D583">
        <v>250.5</v>
      </c>
      <c r="E583">
        <v>57.1</v>
      </c>
      <c r="F583" s="8">
        <f t="shared" si="27"/>
        <v>4.3870402802101571</v>
      </c>
      <c r="G583">
        <v>0.3</v>
      </c>
      <c r="H583">
        <v>2</v>
      </c>
      <c r="I583">
        <v>41.6</v>
      </c>
      <c r="J583">
        <v>90.7</v>
      </c>
      <c r="K583" t="str">
        <f>IF(COUNTIFS($A$2:A583, A583, $C$2:C583, C583)&gt;1, "Duplicate", "Unique")</f>
        <v>Unique</v>
      </c>
      <c r="L583" t="str">
        <f t="shared" si="28"/>
        <v>Normal</v>
      </c>
      <c r="M583" t="str">
        <f t="shared" si="29"/>
        <v>Normal</v>
      </c>
      <c r="N583" s="55"/>
    </row>
    <row r="584" spans="1:14" x14ac:dyDescent="0.3">
      <c r="A584" t="s">
        <v>35</v>
      </c>
      <c r="B584" t="s">
        <v>36</v>
      </c>
      <c r="C584" s="2">
        <v>46101</v>
      </c>
      <c r="D584">
        <v>261.3</v>
      </c>
      <c r="E584">
        <v>71.099999999999994</v>
      </c>
      <c r="F584" s="8">
        <f t="shared" si="27"/>
        <v>3.6751054852320681</v>
      </c>
      <c r="G584">
        <v>2.2000000000000002</v>
      </c>
      <c r="H584">
        <v>4</v>
      </c>
      <c r="I584">
        <v>49.2</v>
      </c>
      <c r="J584">
        <v>96.6</v>
      </c>
      <c r="K584" t="str">
        <f>IF(COUNTIFS($A$2:A584, A584, $C$2:C584, C584)&gt;1, "Duplicate", "Unique")</f>
        <v>Unique</v>
      </c>
      <c r="L584" t="str">
        <f t="shared" si="28"/>
        <v>Normal</v>
      </c>
      <c r="M584" t="str">
        <f t="shared" si="29"/>
        <v>Normal</v>
      </c>
      <c r="N584" s="55"/>
    </row>
    <row r="585" spans="1:14" x14ac:dyDescent="0.3">
      <c r="A585" t="s">
        <v>35</v>
      </c>
      <c r="B585" t="s">
        <v>36</v>
      </c>
      <c r="C585" s="2">
        <v>46098</v>
      </c>
      <c r="D585">
        <v>411.7</v>
      </c>
      <c r="E585">
        <v>78.900000000000006</v>
      </c>
      <c r="F585" s="8">
        <f t="shared" si="27"/>
        <v>5.2179974651457535</v>
      </c>
      <c r="G585">
        <v>4</v>
      </c>
      <c r="H585">
        <v>2</v>
      </c>
      <c r="I585">
        <v>41.3</v>
      </c>
      <c r="J585">
        <v>95.4</v>
      </c>
      <c r="K585" t="str">
        <f>IF(COUNTIFS($A$2:A585, A585, $C$2:C585, C585)&gt;1, "Duplicate", "Unique")</f>
        <v>Unique</v>
      </c>
      <c r="L585" t="str">
        <f t="shared" si="28"/>
        <v>Normal</v>
      </c>
      <c r="M585" t="str">
        <f t="shared" si="29"/>
        <v>Normal</v>
      </c>
      <c r="N585" s="55"/>
    </row>
    <row r="586" spans="1:14" x14ac:dyDescent="0.3">
      <c r="A586" t="s">
        <v>35</v>
      </c>
      <c r="B586" t="s">
        <v>36</v>
      </c>
      <c r="C586" s="2">
        <v>46059</v>
      </c>
      <c r="D586">
        <v>311.8</v>
      </c>
      <c r="E586">
        <v>100</v>
      </c>
      <c r="F586" s="8">
        <f t="shared" si="27"/>
        <v>3.1180000000000003</v>
      </c>
      <c r="G586">
        <v>0.8</v>
      </c>
      <c r="H586">
        <v>4</v>
      </c>
      <c r="I586">
        <v>30.2</v>
      </c>
      <c r="J586">
        <v>96.5</v>
      </c>
      <c r="K586" t="str">
        <f>IF(COUNTIFS($A$2:A586, A586, $C$2:C586, C586)&gt;1, "Duplicate", "Unique")</f>
        <v>Unique</v>
      </c>
      <c r="L586" t="str">
        <f t="shared" si="28"/>
        <v>Normal</v>
      </c>
      <c r="M586" t="str">
        <f t="shared" si="29"/>
        <v>Normal</v>
      </c>
      <c r="N586" s="55"/>
    </row>
    <row r="587" spans="1:14" x14ac:dyDescent="0.3">
      <c r="A587" t="s">
        <v>35</v>
      </c>
      <c r="B587" t="s">
        <v>36</v>
      </c>
      <c r="C587" s="2">
        <v>46087</v>
      </c>
      <c r="D587">
        <v>89.2</v>
      </c>
      <c r="E587">
        <v>21.7</v>
      </c>
      <c r="F587" s="8">
        <f t="shared" si="27"/>
        <v>4.1105990783410142</v>
      </c>
      <c r="G587">
        <v>2.4</v>
      </c>
      <c r="H587">
        <v>4</v>
      </c>
      <c r="I587">
        <v>45.3</v>
      </c>
      <c r="J587">
        <v>92.3</v>
      </c>
      <c r="K587" t="str">
        <f>IF(COUNTIFS($A$2:A587, A587, $C$2:C587, C587)&gt;1, "Duplicate", "Unique")</f>
        <v>Unique</v>
      </c>
      <c r="L587" t="str">
        <f t="shared" si="28"/>
        <v>Normal</v>
      </c>
      <c r="M587" t="str">
        <f t="shared" si="29"/>
        <v>Normal</v>
      </c>
      <c r="N587" s="55"/>
    </row>
    <row r="588" spans="1:14" x14ac:dyDescent="0.3">
      <c r="A588" t="s">
        <v>35</v>
      </c>
      <c r="B588" t="s">
        <v>36</v>
      </c>
      <c r="C588" s="2">
        <v>46035</v>
      </c>
      <c r="D588">
        <v>248.6</v>
      </c>
      <c r="E588">
        <v>53.5</v>
      </c>
      <c r="F588" s="8">
        <f t="shared" si="27"/>
        <v>4.6467289719626166</v>
      </c>
      <c r="G588">
        <v>3.3</v>
      </c>
      <c r="H588">
        <v>8</v>
      </c>
      <c r="I588">
        <v>51.2</v>
      </c>
      <c r="J588">
        <v>99.2</v>
      </c>
      <c r="K588" t="str">
        <f>IF(COUNTIFS($A$2:A588, A588, $C$2:C588, C588)&gt;1, "Duplicate", "Unique")</f>
        <v>Duplicate</v>
      </c>
      <c r="L588" t="str">
        <f t="shared" si="28"/>
        <v>Normal</v>
      </c>
      <c r="M588" t="str">
        <f t="shared" si="29"/>
        <v>Normal</v>
      </c>
      <c r="N588" s="55"/>
    </row>
    <row r="589" spans="1:14" x14ac:dyDescent="0.3">
      <c r="A589" t="s">
        <v>35</v>
      </c>
      <c r="B589" t="s">
        <v>36</v>
      </c>
      <c r="C589" s="2">
        <v>46085</v>
      </c>
      <c r="D589">
        <v>91.2</v>
      </c>
      <c r="E589">
        <v>22.3</v>
      </c>
      <c r="F589" s="8">
        <f t="shared" si="27"/>
        <v>4.0896860986547088</v>
      </c>
      <c r="G589">
        <v>1.7</v>
      </c>
      <c r="H589">
        <v>8</v>
      </c>
      <c r="I589">
        <v>68.099999999999994</v>
      </c>
      <c r="J589">
        <v>89.2</v>
      </c>
      <c r="K589" t="str">
        <f>IF(COUNTIFS($A$2:A589, A589, $C$2:C589, C589)&gt;1, "Duplicate", "Unique")</f>
        <v>Duplicate</v>
      </c>
      <c r="L589" t="str">
        <f t="shared" si="28"/>
        <v>Normal</v>
      </c>
      <c r="M589" t="str">
        <f t="shared" si="29"/>
        <v>Normal</v>
      </c>
      <c r="N589" s="55"/>
    </row>
    <row r="590" spans="1:14" x14ac:dyDescent="0.3">
      <c r="A590" t="s">
        <v>35</v>
      </c>
      <c r="B590" t="s">
        <v>36</v>
      </c>
      <c r="C590" s="2">
        <v>46067</v>
      </c>
      <c r="D590">
        <v>161.19999999999999</v>
      </c>
      <c r="E590">
        <v>45.2</v>
      </c>
      <c r="F590" s="8">
        <f t="shared" si="27"/>
        <v>3.5663716814159288</v>
      </c>
      <c r="G590">
        <v>1</v>
      </c>
      <c r="H590">
        <v>1</v>
      </c>
      <c r="I590">
        <v>57.9</v>
      </c>
      <c r="J590">
        <v>85.9</v>
      </c>
      <c r="K590" t="str">
        <f>IF(COUNTIFS($A$2:A590, A590, $C$2:C590, C590)&gt;1, "Duplicate", "Unique")</f>
        <v>Unique</v>
      </c>
      <c r="L590" t="str">
        <f t="shared" si="28"/>
        <v>Normal</v>
      </c>
      <c r="M590" t="str">
        <f t="shared" si="29"/>
        <v>Normal</v>
      </c>
      <c r="N590" s="55"/>
    </row>
    <row r="591" spans="1:14" x14ac:dyDescent="0.3">
      <c r="A591" t="s">
        <v>35</v>
      </c>
      <c r="B591" t="s">
        <v>36</v>
      </c>
      <c r="C591" s="2">
        <v>46025</v>
      </c>
      <c r="D591">
        <v>93.7</v>
      </c>
      <c r="E591">
        <v>31.7</v>
      </c>
      <c r="F591" s="8">
        <f t="shared" si="27"/>
        <v>2.9558359621451107</v>
      </c>
      <c r="G591">
        <v>3.6</v>
      </c>
      <c r="H591">
        <v>1</v>
      </c>
      <c r="I591">
        <v>48.2</v>
      </c>
      <c r="J591">
        <v>88.2</v>
      </c>
      <c r="K591" t="str">
        <f>IF(COUNTIFS($A$2:A591, A591, $C$2:C591, C591)&gt;1, "Duplicate", "Unique")</f>
        <v>Unique</v>
      </c>
      <c r="L591" t="str">
        <f t="shared" si="28"/>
        <v>Normal</v>
      </c>
      <c r="M591" t="str">
        <f t="shared" si="29"/>
        <v>Suspiciously Low Efficiency</v>
      </c>
      <c r="N591" s="55"/>
    </row>
    <row r="592" spans="1:14" x14ac:dyDescent="0.3">
      <c r="A592" t="s">
        <v>35</v>
      </c>
      <c r="B592" t="s">
        <v>36</v>
      </c>
      <c r="C592" s="2">
        <v>46028</v>
      </c>
      <c r="D592">
        <v>118.6</v>
      </c>
      <c r="E592">
        <v>40.299999999999997</v>
      </c>
      <c r="F592" s="8">
        <f t="shared" si="27"/>
        <v>2.9429280397022333</v>
      </c>
      <c r="G592">
        <v>2.5</v>
      </c>
      <c r="H592">
        <v>3</v>
      </c>
      <c r="I592">
        <v>65.3</v>
      </c>
      <c r="J592">
        <v>92.3</v>
      </c>
      <c r="K592" t="str">
        <f>IF(COUNTIFS($A$2:A592, A592, $C$2:C592, C592)&gt;1, "Duplicate", "Unique")</f>
        <v>Duplicate</v>
      </c>
      <c r="L592" t="str">
        <f t="shared" si="28"/>
        <v>Normal</v>
      </c>
      <c r="M592" t="str">
        <f t="shared" si="29"/>
        <v>Suspiciously Low Efficiency</v>
      </c>
      <c r="N592" s="55"/>
    </row>
    <row r="593" spans="1:14" x14ac:dyDescent="0.3">
      <c r="A593" t="s">
        <v>35</v>
      </c>
      <c r="B593" t="s">
        <v>36</v>
      </c>
      <c r="C593" s="2">
        <v>46111</v>
      </c>
      <c r="D593">
        <v>130.1</v>
      </c>
      <c r="E593">
        <v>40.1</v>
      </c>
      <c r="F593" s="8">
        <f t="shared" si="27"/>
        <v>3.2443890274314211</v>
      </c>
      <c r="G593">
        <v>1.4</v>
      </c>
      <c r="H593">
        <v>7</v>
      </c>
      <c r="I593">
        <v>58.6</v>
      </c>
      <c r="J593">
        <v>99.3</v>
      </c>
      <c r="K593" t="str">
        <f>IF(COUNTIFS($A$2:A593, A593, $C$2:C593, C593)&gt;1, "Duplicate", "Unique")</f>
        <v>Unique</v>
      </c>
      <c r="L593" t="str">
        <f t="shared" si="28"/>
        <v>Normal</v>
      </c>
      <c r="M593" t="str">
        <f t="shared" si="29"/>
        <v>Normal</v>
      </c>
      <c r="N593" s="55"/>
    </row>
    <row r="594" spans="1:14" x14ac:dyDescent="0.3">
      <c r="A594" t="s">
        <v>43</v>
      </c>
      <c r="B594" t="s">
        <v>44</v>
      </c>
      <c r="C594" s="2">
        <v>46051</v>
      </c>
      <c r="D594">
        <v>153.80000000000001</v>
      </c>
      <c r="E594">
        <v>29.1</v>
      </c>
      <c r="F594" s="8">
        <f t="shared" si="27"/>
        <v>5.2852233676975944</v>
      </c>
      <c r="G594">
        <v>1.7</v>
      </c>
      <c r="H594">
        <v>4</v>
      </c>
      <c r="I594">
        <v>40</v>
      </c>
      <c r="J594">
        <v>94.9</v>
      </c>
      <c r="K594" t="str">
        <f>IF(COUNTIFS($A$2:A594, A594, $C$2:C594, C594)&gt;1, "Duplicate", "Unique")</f>
        <v>Unique</v>
      </c>
      <c r="L594" t="str">
        <f t="shared" si="28"/>
        <v>Normal</v>
      </c>
      <c r="M594" t="str">
        <f t="shared" si="29"/>
        <v>Normal</v>
      </c>
      <c r="N594" s="55"/>
    </row>
    <row r="595" spans="1:14" x14ac:dyDescent="0.3">
      <c r="A595" t="s">
        <v>43</v>
      </c>
      <c r="B595" t="s">
        <v>44</v>
      </c>
      <c r="C595" s="2">
        <v>46026</v>
      </c>
      <c r="D595">
        <v>223.9</v>
      </c>
      <c r="E595">
        <v>48.6</v>
      </c>
      <c r="F595" s="8">
        <f t="shared" si="27"/>
        <v>4.6069958847736627</v>
      </c>
      <c r="G595">
        <v>3.6</v>
      </c>
      <c r="H595">
        <v>3</v>
      </c>
      <c r="I595">
        <v>67.8</v>
      </c>
      <c r="J595">
        <v>98.8</v>
      </c>
      <c r="K595" t="str">
        <f>IF(COUNTIFS($A$2:A595, A595, $C$2:C595, C595)&gt;1, "Duplicate", "Unique")</f>
        <v>Unique</v>
      </c>
      <c r="L595" t="str">
        <f t="shared" si="28"/>
        <v>Normal</v>
      </c>
      <c r="M595" t="str">
        <f t="shared" si="29"/>
        <v>Normal</v>
      </c>
      <c r="N595" s="55"/>
    </row>
    <row r="596" spans="1:14" x14ac:dyDescent="0.3">
      <c r="A596" t="s">
        <v>43</v>
      </c>
      <c r="B596" t="s">
        <v>44</v>
      </c>
      <c r="C596" s="2">
        <v>46108</v>
      </c>
      <c r="D596">
        <v>122.3</v>
      </c>
      <c r="E596">
        <v>22.8</v>
      </c>
      <c r="F596" s="8">
        <f t="shared" si="27"/>
        <v>5.3640350877192979</v>
      </c>
      <c r="G596">
        <v>2.2000000000000002</v>
      </c>
      <c r="H596">
        <v>5</v>
      </c>
      <c r="I596">
        <v>64.5</v>
      </c>
      <c r="J596">
        <v>87.5</v>
      </c>
      <c r="K596" t="str">
        <f>IF(COUNTIFS($A$2:A596, A596, $C$2:C596, C596)&gt;1, "Duplicate", "Unique")</f>
        <v>Unique</v>
      </c>
      <c r="L596" t="str">
        <f t="shared" si="28"/>
        <v>Normal</v>
      </c>
      <c r="M596" t="str">
        <f t="shared" si="29"/>
        <v>Normal</v>
      </c>
      <c r="N596" s="55"/>
    </row>
    <row r="597" spans="1:14" x14ac:dyDescent="0.3">
      <c r="A597" t="s">
        <v>43</v>
      </c>
      <c r="B597" t="s">
        <v>44</v>
      </c>
      <c r="C597" s="2">
        <v>46036</v>
      </c>
      <c r="D597">
        <v>402.9</v>
      </c>
      <c r="E597">
        <v>92.6</v>
      </c>
      <c r="F597" s="8">
        <f t="shared" si="27"/>
        <v>4.3509719222462202</v>
      </c>
      <c r="G597">
        <v>2.2000000000000002</v>
      </c>
      <c r="H597">
        <v>8</v>
      </c>
      <c r="I597">
        <v>45.3</v>
      </c>
      <c r="J597">
        <v>99.5</v>
      </c>
      <c r="K597" t="str">
        <f>IF(COUNTIFS($A$2:A597, A597, $C$2:C597, C597)&gt;1, "Duplicate", "Unique")</f>
        <v>Unique</v>
      </c>
      <c r="L597" t="str">
        <f t="shared" si="28"/>
        <v>Normal</v>
      </c>
      <c r="M597" t="str">
        <f t="shared" si="29"/>
        <v>Normal</v>
      </c>
      <c r="N597" s="55"/>
    </row>
    <row r="598" spans="1:14" x14ac:dyDescent="0.3">
      <c r="A598" t="s">
        <v>43</v>
      </c>
      <c r="B598" t="s">
        <v>44</v>
      </c>
      <c r="C598" s="2">
        <v>46036</v>
      </c>
      <c r="D598">
        <v>167.8</v>
      </c>
      <c r="F598" s="8">
        <f t="shared" si="27"/>
        <v>0</v>
      </c>
      <c r="G598">
        <v>2.7</v>
      </c>
      <c r="H598">
        <v>5</v>
      </c>
      <c r="I598">
        <v>31</v>
      </c>
      <c r="J598">
        <v>97.5</v>
      </c>
      <c r="K598" t="str">
        <f>IF(COUNTIFS($A$2:A598, A598, $C$2:C598, C598)&gt;1, "Duplicate", "Unique")</f>
        <v>Duplicate</v>
      </c>
      <c r="L598" t="str">
        <f t="shared" si="28"/>
        <v>Normal</v>
      </c>
      <c r="M598">
        <f t="shared" si="29"/>
        <v>0</v>
      </c>
      <c r="N598" s="55"/>
    </row>
    <row r="599" spans="1:14" x14ac:dyDescent="0.3">
      <c r="A599" t="s">
        <v>43</v>
      </c>
      <c r="B599" t="s">
        <v>44</v>
      </c>
      <c r="C599" s="2">
        <v>46047</v>
      </c>
      <c r="D599">
        <v>216.1</v>
      </c>
      <c r="E599">
        <v>40.299999999999997</v>
      </c>
      <c r="F599" s="8">
        <f t="shared" si="27"/>
        <v>5.3622828784119108</v>
      </c>
      <c r="G599">
        <v>4.4000000000000004</v>
      </c>
      <c r="H599">
        <v>8</v>
      </c>
      <c r="I599">
        <v>64.599999999999994</v>
      </c>
      <c r="J599">
        <v>96.7</v>
      </c>
      <c r="K599" t="str">
        <f>IF(COUNTIFS($A$2:A599, A599, $C$2:C599, C599)&gt;1, "Duplicate", "Unique")</f>
        <v>Unique</v>
      </c>
      <c r="L599" t="str">
        <f t="shared" si="28"/>
        <v>Normal</v>
      </c>
      <c r="M599" t="str">
        <f t="shared" si="29"/>
        <v>Normal</v>
      </c>
      <c r="N599" s="55"/>
    </row>
    <row r="600" spans="1:14" x14ac:dyDescent="0.3">
      <c r="A600" t="s">
        <v>43</v>
      </c>
      <c r="B600" t="s">
        <v>44</v>
      </c>
      <c r="C600" s="2">
        <v>46070</v>
      </c>
      <c r="D600">
        <v>285.2</v>
      </c>
      <c r="E600">
        <v>92.7</v>
      </c>
      <c r="F600" s="8">
        <f t="shared" si="27"/>
        <v>3.0765911542610569</v>
      </c>
      <c r="G600">
        <v>3.8</v>
      </c>
      <c r="H600">
        <v>2</v>
      </c>
      <c r="I600">
        <v>42.8</v>
      </c>
      <c r="J600">
        <v>96.4</v>
      </c>
      <c r="K600" t="str">
        <f>IF(COUNTIFS($A$2:A600, A600, $C$2:C600, C600)&gt;1, "Duplicate", "Unique")</f>
        <v>Unique</v>
      </c>
      <c r="L600" t="str">
        <f t="shared" si="28"/>
        <v>Normal</v>
      </c>
      <c r="M600" t="str">
        <f t="shared" si="29"/>
        <v>Normal</v>
      </c>
      <c r="N600" s="55"/>
    </row>
    <row r="601" spans="1:14" x14ac:dyDescent="0.3">
      <c r="A601" t="s">
        <v>43</v>
      </c>
      <c r="B601" t="s">
        <v>44</v>
      </c>
      <c r="C601" s="2">
        <v>46080</v>
      </c>
      <c r="D601">
        <v>307.7</v>
      </c>
      <c r="E601">
        <v>58.7</v>
      </c>
      <c r="F601" s="8">
        <f t="shared" si="27"/>
        <v>5.2419080068143096</v>
      </c>
      <c r="G601">
        <v>0.3</v>
      </c>
      <c r="H601">
        <v>4</v>
      </c>
      <c r="I601">
        <v>67.599999999999994</v>
      </c>
      <c r="J601">
        <v>93.2</v>
      </c>
      <c r="K601" t="str">
        <f>IF(COUNTIFS($A$2:A601, A601, $C$2:C601, C601)&gt;1, "Duplicate", "Unique")</f>
        <v>Unique</v>
      </c>
      <c r="L601" t="str">
        <f t="shared" si="28"/>
        <v>Normal</v>
      </c>
      <c r="M601" t="str">
        <f t="shared" si="29"/>
        <v>Normal</v>
      </c>
      <c r="N601" s="55"/>
    </row>
    <row r="602" spans="1:14" x14ac:dyDescent="0.3">
      <c r="A602" t="s">
        <v>43</v>
      </c>
      <c r="B602" t="s">
        <v>44</v>
      </c>
      <c r="C602" s="2">
        <v>46048</v>
      </c>
      <c r="D602">
        <v>125.4</v>
      </c>
      <c r="E602">
        <v>24.6</v>
      </c>
      <c r="F602" s="8">
        <f t="shared" si="27"/>
        <v>5.0975609756097562</v>
      </c>
      <c r="G602">
        <v>2.1</v>
      </c>
      <c r="H602">
        <v>8</v>
      </c>
      <c r="I602">
        <v>74.900000000000006</v>
      </c>
      <c r="J602">
        <v>97.2</v>
      </c>
      <c r="K602" t="str">
        <f>IF(COUNTIFS($A$2:A602, A602, $C$2:C602, C602)&gt;1, "Duplicate", "Unique")</f>
        <v>Unique</v>
      </c>
      <c r="L602" t="str">
        <f t="shared" si="28"/>
        <v>Normal</v>
      </c>
      <c r="M602" t="str">
        <f t="shared" si="29"/>
        <v>Normal</v>
      </c>
      <c r="N602" s="55"/>
    </row>
    <row r="603" spans="1:14" x14ac:dyDescent="0.3">
      <c r="A603" t="s">
        <v>43</v>
      </c>
      <c r="B603" t="s">
        <v>44</v>
      </c>
      <c r="C603" s="2">
        <v>46062</v>
      </c>
      <c r="D603">
        <v>264</v>
      </c>
      <c r="E603">
        <v>86.8</v>
      </c>
      <c r="F603" s="8">
        <f t="shared" si="27"/>
        <v>3.0414746543778803</v>
      </c>
      <c r="G603">
        <v>1.9</v>
      </c>
      <c r="H603">
        <v>8</v>
      </c>
      <c r="I603">
        <v>73.5</v>
      </c>
      <c r="J603">
        <v>88.2</v>
      </c>
      <c r="K603" t="str">
        <f>IF(COUNTIFS($A$2:A603, A603, $C$2:C603, C603)&gt;1, "Duplicate", "Unique")</f>
        <v>Unique</v>
      </c>
      <c r="L603" t="str">
        <f t="shared" si="28"/>
        <v>Normal</v>
      </c>
      <c r="M603" t="str">
        <f t="shared" si="29"/>
        <v>Normal</v>
      </c>
      <c r="N603" s="55"/>
    </row>
    <row r="604" spans="1:14" x14ac:dyDescent="0.3">
      <c r="A604" t="s">
        <v>43</v>
      </c>
      <c r="B604" t="s">
        <v>44</v>
      </c>
      <c r="C604" s="2">
        <v>46089</v>
      </c>
      <c r="D604">
        <v>249.1</v>
      </c>
      <c r="E604">
        <v>56.1</v>
      </c>
      <c r="F604" s="8">
        <f t="shared" si="27"/>
        <v>4.4402852049910875</v>
      </c>
      <c r="G604">
        <v>2.4</v>
      </c>
      <c r="H604">
        <v>6</v>
      </c>
      <c r="I604">
        <v>71.900000000000006</v>
      </c>
      <c r="J604">
        <v>89.8</v>
      </c>
      <c r="K604" t="str">
        <f>IF(COUNTIFS($A$2:A604, A604, $C$2:C604, C604)&gt;1, "Duplicate", "Unique")</f>
        <v>Unique</v>
      </c>
      <c r="L604" t="str">
        <f t="shared" si="28"/>
        <v>Normal</v>
      </c>
      <c r="M604" t="str">
        <f t="shared" si="29"/>
        <v>Normal</v>
      </c>
      <c r="N604" s="55"/>
    </row>
    <row r="605" spans="1:14" x14ac:dyDescent="0.3">
      <c r="A605" t="s">
        <v>43</v>
      </c>
      <c r="B605" t="s">
        <v>44</v>
      </c>
      <c r="C605" s="2">
        <v>46063</v>
      </c>
      <c r="D605">
        <v>257.5</v>
      </c>
      <c r="E605">
        <v>59.7</v>
      </c>
      <c r="F605" s="8">
        <f t="shared" si="27"/>
        <v>4.3132328308207706</v>
      </c>
      <c r="G605">
        <v>4.2</v>
      </c>
      <c r="H605">
        <v>5</v>
      </c>
      <c r="I605">
        <v>43</v>
      </c>
      <c r="J605">
        <v>93.6</v>
      </c>
      <c r="K605" t="str">
        <f>IF(COUNTIFS($A$2:A605, A605, $C$2:C605, C605)&gt;1, "Duplicate", "Unique")</f>
        <v>Unique</v>
      </c>
      <c r="L605" t="str">
        <f t="shared" si="28"/>
        <v>Normal</v>
      </c>
      <c r="M605" t="str">
        <f t="shared" si="29"/>
        <v>Normal</v>
      </c>
      <c r="N605" s="55"/>
    </row>
    <row r="606" spans="1:14" x14ac:dyDescent="0.3">
      <c r="A606" t="s">
        <v>43</v>
      </c>
      <c r="B606" t="s">
        <v>44</v>
      </c>
      <c r="C606" s="2">
        <v>46046</v>
      </c>
      <c r="D606">
        <v>426.5</v>
      </c>
      <c r="E606">
        <v>79</v>
      </c>
      <c r="F606" s="8">
        <f t="shared" si="27"/>
        <v>5.3987341772151902</v>
      </c>
      <c r="G606">
        <v>4.2</v>
      </c>
      <c r="H606">
        <v>1</v>
      </c>
      <c r="I606">
        <v>30.4</v>
      </c>
      <c r="J606">
        <v>93.5</v>
      </c>
      <c r="K606" t="str">
        <f>IF(COUNTIFS($A$2:A606, A606, $C$2:C606, C606)&gt;1, "Duplicate", "Unique")</f>
        <v>Unique</v>
      </c>
      <c r="L606" t="str">
        <f t="shared" si="28"/>
        <v>Normal</v>
      </c>
      <c r="M606" t="str">
        <f t="shared" si="29"/>
        <v>Normal</v>
      </c>
      <c r="N606" s="55"/>
    </row>
    <row r="607" spans="1:14" x14ac:dyDescent="0.3">
      <c r="A607" t="s">
        <v>43</v>
      </c>
      <c r="B607" t="s">
        <v>44</v>
      </c>
      <c r="C607" s="2">
        <v>46029</v>
      </c>
      <c r="D607">
        <v>439.7</v>
      </c>
      <c r="E607">
        <v>82.3</v>
      </c>
      <c r="F607" s="8">
        <f t="shared" si="27"/>
        <v>5.3426488456865124</v>
      </c>
      <c r="G607">
        <v>3.1</v>
      </c>
      <c r="H607">
        <v>6</v>
      </c>
      <c r="I607">
        <v>61.3</v>
      </c>
      <c r="J607">
        <v>91.1</v>
      </c>
      <c r="K607" t="str">
        <f>IF(COUNTIFS($A$2:A607, A607, $C$2:C607, C607)&gt;1, "Duplicate", "Unique")</f>
        <v>Unique</v>
      </c>
      <c r="L607" t="str">
        <f t="shared" si="28"/>
        <v>Normal</v>
      </c>
      <c r="M607" t="str">
        <f t="shared" si="29"/>
        <v>Normal</v>
      </c>
      <c r="N607" s="55"/>
    </row>
    <row r="608" spans="1:14" x14ac:dyDescent="0.3">
      <c r="A608" t="s">
        <v>43</v>
      </c>
      <c r="B608" t="s">
        <v>44</v>
      </c>
      <c r="C608" s="2">
        <v>46063</v>
      </c>
      <c r="D608">
        <v>418.3</v>
      </c>
      <c r="E608">
        <v>110.1</v>
      </c>
      <c r="F608" s="8">
        <f t="shared" si="27"/>
        <v>3.7992733878292464</v>
      </c>
      <c r="G608">
        <v>2</v>
      </c>
      <c r="H608">
        <v>4</v>
      </c>
      <c r="I608">
        <v>63.4</v>
      </c>
      <c r="J608">
        <v>85.2</v>
      </c>
      <c r="K608" t="str">
        <f>IF(COUNTIFS($A$2:A608, A608, $C$2:C608, C608)&gt;1, "Duplicate", "Unique")</f>
        <v>Duplicate</v>
      </c>
      <c r="L608" t="str">
        <f t="shared" si="28"/>
        <v>Normal</v>
      </c>
      <c r="M608" t="str">
        <f t="shared" si="29"/>
        <v>Normal</v>
      </c>
      <c r="N608" s="55"/>
    </row>
    <row r="609" spans="1:14" x14ac:dyDescent="0.3">
      <c r="A609" t="s">
        <v>43</v>
      </c>
      <c r="B609" t="s">
        <v>44</v>
      </c>
      <c r="C609" s="2">
        <v>46081</v>
      </c>
      <c r="D609">
        <v>142.19999999999999</v>
      </c>
      <c r="E609">
        <v>28.7</v>
      </c>
      <c r="F609" s="8">
        <f t="shared" si="27"/>
        <v>4.9547038327526129</v>
      </c>
      <c r="G609">
        <v>0.9</v>
      </c>
      <c r="H609">
        <v>8</v>
      </c>
      <c r="I609">
        <v>38.299999999999997</v>
      </c>
      <c r="J609">
        <v>98.3</v>
      </c>
      <c r="K609" t="str">
        <f>IF(COUNTIFS($A$2:A609, A609, $C$2:C609, C609)&gt;1, "Duplicate", "Unique")</f>
        <v>Unique</v>
      </c>
      <c r="L609" t="str">
        <f t="shared" si="28"/>
        <v>Normal</v>
      </c>
      <c r="M609" t="str">
        <f t="shared" si="29"/>
        <v>Normal</v>
      </c>
      <c r="N609" s="55"/>
    </row>
    <row r="610" spans="1:14" x14ac:dyDescent="0.3">
      <c r="A610" t="s">
        <v>43</v>
      </c>
      <c r="B610" t="s">
        <v>44</v>
      </c>
      <c r="C610" s="2">
        <v>46097</v>
      </c>
      <c r="D610">
        <v>228.3</v>
      </c>
      <c r="E610">
        <v>54.8</v>
      </c>
      <c r="F610" s="8">
        <f t="shared" si="27"/>
        <v>4.1660583941605847</v>
      </c>
      <c r="G610">
        <v>4.2</v>
      </c>
      <c r="H610">
        <v>7</v>
      </c>
      <c r="I610">
        <v>54.5</v>
      </c>
      <c r="J610">
        <v>96.9</v>
      </c>
      <c r="K610" t="str">
        <f>IF(COUNTIFS($A$2:A610, A610, $C$2:C610, C610)&gt;1, "Duplicate", "Unique")</f>
        <v>Unique</v>
      </c>
      <c r="L610" t="str">
        <f t="shared" si="28"/>
        <v>Normal</v>
      </c>
      <c r="M610" t="str">
        <f t="shared" si="29"/>
        <v>Normal</v>
      </c>
      <c r="N610" s="55"/>
    </row>
    <row r="611" spans="1:14" x14ac:dyDescent="0.3">
      <c r="A611" t="s">
        <v>43</v>
      </c>
      <c r="B611" t="s">
        <v>44</v>
      </c>
      <c r="C611" s="2">
        <v>46067</v>
      </c>
      <c r="D611">
        <v>256.2</v>
      </c>
      <c r="E611">
        <v>64.3</v>
      </c>
      <c r="F611" s="8">
        <f t="shared" si="27"/>
        <v>3.9844479004665629</v>
      </c>
      <c r="G611">
        <v>3.2</v>
      </c>
      <c r="H611">
        <v>6</v>
      </c>
      <c r="I611">
        <v>33</v>
      </c>
      <c r="J611">
        <v>85.7</v>
      </c>
      <c r="K611" t="str">
        <f>IF(COUNTIFS($A$2:A611, A611, $C$2:C611, C611)&gt;1, "Duplicate", "Unique")</f>
        <v>Unique</v>
      </c>
      <c r="L611" t="str">
        <f t="shared" si="28"/>
        <v>Normal</v>
      </c>
      <c r="M611" t="str">
        <f t="shared" si="29"/>
        <v>Normal</v>
      </c>
      <c r="N611" s="55"/>
    </row>
    <row r="612" spans="1:14" x14ac:dyDescent="0.3">
      <c r="A612" t="s">
        <v>43</v>
      </c>
      <c r="B612" t="s">
        <v>44</v>
      </c>
      <c r="C612" s="2">
        <v>46032</v>
      </c>
      <c r="D612">
        <v>86.2</v>
      </c>
      <c r="E612">
        <v>28.9</v>
      </c>
      <c r="F612" s="8">
        <f t="shared" si="27"/>
        <v>2.9826989619377167</v>
      </c>
      <c r="G612">
        <v>1.3</v>
      </c>
      <c r="H612">
        <v>1</v>
      </c>
      <c r="I612">
        <v>71.5</v>
      </c>
      <c r="K612" t="str">
        <f>IF(COUNTIFS($A$2:A612, A612, $C$2:C612, C612)&gt;1, "Duplicate", "Unique")</f>
        <v>Unique</v>
      </c>
      <c r="L612" t="str">
        <f t="shared" si="28"/>
        <v>Normal</v>
      </c>
      <c r="M612" t="str">
        <f t="shared" si="29"/>
        <v>Suspiciously Low Efficiency</v>
      </c>
      <c r="N612" s="55"/>
    </row>
    <row r="613" spans="1:14" x14ac:dyDescent="0.3">
      <c r="A613" t="s">
        <v>43</v>
      </c>
      <c r="B613" t="s">
        <v>44</v>
      </c>
      <c r="C613" s="2">
        <v>46048</v>
      </c>
      <c r="D613">
        <v>351</v>
      </c>
      <c r="E613">
        <v>82.1</v>
      </c>
      <c r="F613" s="8">
        <f t="shared" si="27"/>
        <v>4.2752740560292333</v>
      </c>
      <c r="G613">
        <v>3.6</v>
      </c>
      <c r="H613">
        <v>3</v>
      </c>
      <c r="I613">
        <v>30.3</v>
      </c>
      <c r="J613">
        <v>91.2</v>
      </c>
      <c r="K613" t="str">
        <f>IF(COUNTIFS($A$2:A613, A613, $C$2:C613, C613)&gt;1, "Duplicate", "Unique")</f>
        <v>Duplicate</v>
      </c>
      <c r="L613" t="str">
        <f t="shared" si="28"/>
        <v>Normal</v>
      </c>
      <c r="M613" t="str">
        <f t="shared" si="29"/>
        <v>Normal</v>
      </c>
      <c r="N613" s="55"/>
    </row>
    <row r="614" spans="1:14" x14ac:dyDescent="0.3">
      <c r="A614" t="s">
        <v>43</v>
      </c>
      <c r="B614" t="s">
        <v>44</v>
      </c>
      <c r="C614" s="2">
        <v>46092</v>
      </c>
      <c r="D614">
        <v>194.3</v>
      </c>
      <c r="E614">
        <v>47.1</v>
      </c>
      <c r="F614" s="8">
        <f t="shared" si="27"/>
        <v>4.1252653927813165</v>
      </c>
      <c r="G614">
        <v>0.6</v>
      </c>
      <c r="H614">
        <v>4</v>
      </c>
      <c r="I614">
        <v>57.1</v>
      </c>
      <c r="J614">
        <v>85.3</v>
      </c>
      <c r="K614" t="str">
        <f>IF(COUNTIFS($A$2:A614, A614, $C$2:C614, C614)&gt;1, "Duplicate", "Unique")</f>
        <v>Unique</v>
      </c>
      <c r="L614" t="str">
        <f t="shared" si="28"/>
        <v>Normal</v>
      </c>
      <c r="M614" t="str">
        <f t="shared" si="29"/>
        <v>Normal</v>
      </c>
      <c r="N614" s="55"/>
    </row>
    <row r="615" spans="1:14" x14ac:dyDescent="0.3">
      <c r="A615" t="s">
        <v>43</v>
      </c>
      <c r="B615" t="s">
        <v>44</v>
      </c>
      <c r="C615" s="2">
        <v>46023</v>
      </c>
      <c r="D615">
        <v>202.7</v>
      </c>
      <c r="E615">
        <v>45.5</v>
      </c>
      <c r="F615" s="8">
        <f t="shared" si="27"/>
        <v>4.4549450549450551</v>
      </c>
      <c r="G615">
        <v>3.7</v>
      </c>
      <c r="H615">
        <v>6</v>
      </c>
      <c r="I615">
        <v>62.3</v>
      </c>
      <c r="J615">
        <v>98.8</v>
      </c>
      <c r="K615" t="str">
        <f>IF(COUNTIFS($A$2:A615, A615, $C$2:C615, C615)&gt;1, "Duplicate", "Unique")</f>
        <v>Unique</v>
      </c>
      <c r="L615" t="str">
        <f t="shared" si="28"/>
        <v>Normal</v>
      </c>
      <c r="M615" t="str">
        <f t="shared" si="29"/>
        <v>Normal</v>
      </c>
      <c r="N615" s="55"/>
    </row>
    <row r="616" spans="1:14" x14ac:dyDescent="0.3">
      <c r="A616" t="s">
        <v>43</v>
      </c>
      <c r="B616" t="s">
        <v>44</v>
      </c>
      <c r="C616" s="2">
        <v>46098</v>
      </c>
      <c r="D616">
        <v>284</v>
      </c>
      <c r="E616">
        <v>76.2</v>
      </c>
      <c r="F616" s="8">
        <f t="shared" si="27"/>
        <v>3.727034120734908</v>
      </c>
      <c r="G616">
        <v>3.8</v>
      </c>
      <c r="H616">
        <v>5</v>
      </c>
      <c r="I616">
        <v>63.7</v>
      </c>
      <c r="J616">
        <v>95.3</v>
      </c>
      <c r="K616" t="str">
        <f>IF(COUNTIFS($A$2:A616, A616, $C$2:C616, C616)&gt;1, "Duplicate", "Unique")</f>
        <v>Unique</v>
      </c>
      <c r="L616" t="str">
        <f t="shared" si="28"/>
        <v>Normal</v>
      </c>
      <c r="M616" t="str">
        <f t="shared" si="29"/>
        <v>Normal</v>
      </c>
      <c r="N616" s="55"/>
    </row>
    <row r="617" spans="1:14" x14ac:dyDescent="0.3">
      <c r="A617" t="s">
        <v>43</v>
      </c>
      <c r="B617" t="s">
        <v>44</v>
      </c>
      <c r="C617" s="2">
        <v>46112</v>
      </c>
      <c r="D617">
        <v>136.69999999999999</v>
      </c>
      <c r="E617">
        <v>29.2</v>
      </c>
      <c r="F617" s="8">
        <f t="shared" si="27"/>
        <v>4.6815068493150678</v>
      </c>
      <c r="G617">
        <v>2.9</v>
      </c>
      <c r="H617">
        <v>5</v>
      </c>
      <c r="I617">
        <v>48.9</v>
      </c>
      <c r="J617">
        <v>86.5</v>
      </c>
      <c r="K617" t="str">
        <f>IF(COUNTIFS($A$2:A617, A617, $C$2:C617, C617)&gt;1, "Duplicate", "Unique")</f>
        <v>Unique</v>
      </c>
      <c r="L617" t="str">
        <f t="shared" si="28"/>
        <v>Normal</v>
      </c>
      <c r="M617" t="str">
        <f t="shared" si="29"/>
        <v>Normal</v>
      </c>
      <c r="N617" s="55"/>
    </row>
    <row r="618" spans="1:14" x14ac:dyDescent="0.3">
      <c r="A618" t="s">
        <v>43</v>
      </c>
      <c r="B618" t="s">
        <v>44</v>
      </c>
      <c r="C618" s="2">
        <v>46095</v>
      </c>
      <c r="D618">
        <v>331</v>
      </c>
      <c r="E618">
        <v>100.6</v>
      </c>
      <c r="F618" s="8">
        <f t="shared" si="27"/>
        <v>3.2902584493041753</v>
      </c>
      <c r="G618">
        <v>1.8</v>
      </c>
      <c r="H618">
        <v>6</v>
      </c>
      <c r="I618">
        <v>57.5</v>
      </c>
      <c r="J618">
        <v>97.9</v>
      </c>
      <c r="K618" t="str">
        <f>IF(COUNTIFS($A$2:A618, A618, $C$2:C618, C618)&gt;1, "Duplicate", "Unique")</f>
        <v>Unique</v>
      </c>
      <c r="L618" t="str">
        <f t="shared" si="28"/>
        <v>Normal</v>
      </c>
      <c r="M618" t="str">
        <f t="shared" si="29"/>
        <v>Normal</v>
      </c>
      <c r="N618" s="55"/>
    </row>
    <row r="619" spans="1:14" x14ac:dyDescent="0.3">
      <c r="A619" t="s">
        <v>43</v>
      </c>
      <c r="B619" t="s">
        <v>44</v>
      </c>
      <c r="C619" s="2">
        <v>46065</v>
      </c>
      <c r="D619">
        <v>212.1</v>
      </c>
      <c r="E619">
        <v>46</v>
      </c>
      <c r="F619" s="8">
        <f t="shared" si="27"/>
        <v>4.6108695652173912</v>
      </c>
      <c r="G619">
        <v>1.2</v>
      </c>
      <c r="H619">
        <v>5</v>
      </c>
      <c r="I619">
        <v>57.9</v>
      </c>
      <c r="J619">
        <v>98.5</v>
      </c>
      <c r="K619" t="str">
        <f>IF(COUNTIFS($A$2:A619, A619, $C$2:C619, C619)&gt;1, "Duplicate", "Unique")</f>
        <v>Unique</v>
      </c>
      <c r="L619" t="str">
        <f t="shared" si="28"/>
        <v>Normal</v>
      </c>
      <c r="M619" t="str">
        <f t="shared" si="29"/>
        <v>Normal</v>
      </c>
      <c r="N619" s="55"/>
    </row>
    <row r="620" spans="1:14" x14ac:dyDescent="0.3">
      <c r="A620" t="s">
        <v>43</v>
      </c>
      <c r="B620" t="s">
        <v>44</v>
      </c>
      <c r="C620" s="2">
        <v>46063</v>
      </c>
      <c r="D620">
        <v>210.8</v>
      </c>
      <c r="E620">
        <v>40.4</v>
      </c>
      <c r="F620" s="8">
        <f t="shared" si="27"/>
        <v>5.217821782178218</v>
      </c>
      <c r="G620">
        <v>1.4</v>
      </c>
      <c r="H620">
        <v>4</v>
      </c>
      <c r="I620">
        <v>52.5</v>
      </c>
      <c r="J620">
        <v>88</v>
      </c>
      <c r="K620" t="str">
        <f>IF(COUNTIFS($A$2:A620, A620, $C$2:C620, C620)&gt;1, "Duplicate", "Unique")</f>
        <v>Duplicate</v>
      </c>
      <c r="L620" t="str">
        <f t="shared" si="28"/>
        <v>Normal</v>
      </c>
      <c r="M620" t="str">
        <f t="shared" si="29"/>
        <v>Normal</v>
      </c>
      <c r="N620" s="55"/>
    </row>
    <row r="621" spans="1:14" x14ac:dyDescent="0.3">
      <c r="A621" t="s">
        <v>43</v>
      </c>
      <c r="B621" t="s">
        <v>44</v>
      </c>
      <c r="C621" s="2">
        <v>46080</v>
      </c>
      <c r="D621">
        <v>409.2</v>
      </c>
      <c r="E621">
        <v>106.9</v>
      </c>
      <c r="F621" s="8">
        <f t="shared" si="27"/>
        <v>3.827876520112254</v>
      </c>
      <c r="G621">
        <v>1.4</v>
      </c>
      <c r="H621">
        <v>3</v>
      </c>
      <c r="I621">
        <v>69.099999999999994</v>
      </c>
      <c r="J621">
        <v>94.6</v>
      </c>
      <c r="K621" t="str">
        <f>IF(COUNTIFS($A$2:A621, A621, $C$2:C621, C621)&gt;1, "Duplicate", "Unique")</f>
        <v>Duplicate</v>
      </c>
      <c r="L621" t="str">
        <f t="shared" si="28"/>
        <v>Normal</v>
      </c>
      <c r="M621" t="str">
        <f t="shared" si="29"/>
        <v>Normal</v>
      </c>
      <c r="N621" s="55"/>
    </row>
    <row r="622" spans="1:14" x14ac:dyDescent="0.3">
      <c r="A622" t="s">
        <v>43</v>
      </c>
      <c r="B622" t="s">
        <v>44</v>
      </c>
      <c r="C622" s="2">
        <v>46111</v>
      </c>
      <c r="D622">
        <v>300.60000000000002</v>
      </c>
      <c r="E622">
        <v>79</v>
      </c>
      <c r="F622" s="8">
        <f t="shared" si="27"/>
        <v>3.8050632911392408</v>
      </c>
      <c r="G622">
        <v>0.6</v>
      </c>
      <c r="H622">
        <v>3</v>
      </c>
      <c r="I622">
        <v>52.5</v>
      </c>
      <c r="J622">
        <v>95.3</v>
      </c>
      <c r="K622" t="str">
        <f>IF(COUNTIFS($A$2:A622, A622, $C$2:C622, C622)&gt;1, "Duplicate", "Unique")</f>
        <v>Unique</v>
      </c>
      <c r="L622" t="str">
        <f t="shared" si="28"/>
        <v>Normal</v>
      </c>
      <c r="M622" t="str">
        <f t="shared" si="29"/>
        <v>Normal</v>
      </c>
      <c r="N622" s="55"/>
    </row>
    <row r="623" spans="1:14" x14ac:dyDescent="0.3">
      <c r="A623" t="s">
        <v>43</v>
      </c>
      <c r="B623" t="s">
        <v>44</v>
      </c>
      <c r="C623" s="2">
        <v>46045</v>
      </c>
      <c r="D623">
        <v>260.7</v>
      </c>
      <c r="E623">
        <v>49.9</v>
      </c>
      <c r="F623" s="8">
        <f t="shared" si="27"/>
        <v>5.2244488977955914</v>
      </c>
      <c r="G623">
        <v>3.2</v>
      </c>
      <c r="H623">
        <v>2</v>
      </c>
      <c r="I623">
        <v>56.8</v>
      </c>
      <c r="J623">
        <v>89.5</v>
      </c>
      <c r="K623" t="str">
        <f>IF(COUNTIFS($A$2:A623, A623, $C$2:C623, C623)&gt;1, "Duplicate", "Unique")</f>
        <v>Unique</v>
      </c>
      <c r="L623" t="str">
        <f t="shared" si="28"/>
        <v>Normal</v>
      </c>
      <c r="M623" t="str">
        <f t="shared" si="29"/>
        <v>Normal</v>
      </c>
      <c r="N623" s="55"/>
    </row>
    <row r="624" spans="1:14" x14ac:dyDescent="0.3">
      <c r="A624" t="s">
        <v>43</v>
      </c>
      <c r="B624" t="s">
        <v>44</v>
      </c>
      <c r="C624" s="2">
        <v>46106</v>
      </c>
      <c r="D624">
        <v>218.4</v>
      </c>
      <c r="E624">
        <v>42.8</v>
      </c>
      <c r="F624" s="8">
        <f t="shared" si="27"/>
        <v>5.1028037383177578</v>
      </c>
      <c r="G624">
        <v>2.2999999999999998</v>
      </c>
      <c r="H624">
        <v>3</v>
      </c>
      <c r="I624">
        <v>37.4</v>
      </c>
      <c r="J624">
        <v>88.4</v>
      </c>
      <c r="K624" t="str">
        <f>IF(COUNTIFS($A$2:A624, A624, $C$2:C624, C624)&gt;1, "Duplicate", "Unique")</f>
        <v>Unique</v>
      </c>
      <c r="L624" t="str">
        <f t="shared" si="28"/>
        <v>Normal</v>
      </c>
      <c r="M624" t="str">
        <f t="shared" si="29"/>
        <v>Normal</v>
      </c>
      <c r="N624" s="55"/>
    </row>
    <row r="625" spans="1:14" x14ac:dyDescent="0.3">
      <c r="A625" t="s">
        <v>43</v>
      </c>
      <c r="B625" t="s">
        <v>44</v>
      </c>
      <c r="C625" s="2">
        <v>46081</v>
      </c>
      <c r="D625">
        <v>231.8</v>
      </c>
      <c r="E625">
        <v>76.900000000000006</v>
      </c>
      <c r="F625" s="8">
        <f t="shared" si="27"/>
        <v>3.0143042912873863</v>
      </c>
      <c r="G625">
        <v>2.8</v>
      </c>
      <c r="H625">
        <v>4</v>
      </c>
      <c r="I625">
        <v>69.7</v>
      </c>
      <c r="J625">
        <v>89.2</v>
      </c>
      <c r="K625" t="str">
        <f>IF(COUNTIFS($A$2:A625, A625, $C$2:C625, C625)&gt;1, "Duplicate", "Unique")</f>
        <v>Duplicate</v>
      </c>
      <c r="L625" t="str">
        <f t="shared" si="28"/>
        <v>Normal</v>
      </c>
      <c r="M625" t="str">
        <f t="shared" si="29"/>
        <v>Normal</v>
      </c>
      <c r="N625" s="55"/>
    </row>
    <row r="626" spans="1:14" x14ac:dyDescent="0.3">
      <c r="A626" t="s">
        <v>43</v>
      </c>
      <c r="B626" t="s">
        <v>44</v>
      </c>
      <c r="C626" s="2">
        <v>46089</v>
      </c>
      <c r="D626">
        <v>349.8</v>
      </c>
      <c r="E626">
        <v>84.4</v>
      </c>
      <c r="F626" s="8">
        <f t="shared" si="27"/>
        <v>4.1445497630331749</v>
      </c>
      <c r="G626">
        <v>3.7</v>
      </c>
      <c r="H626">
        <v>4</v>
      </c>
      <c r="I626">
        <v>61.9</v>
      </c>
      <c r="J626">
        <v>99.7</v>
      </c>
      <c r="K626" t="str">
        <f>IF(COUNTIFS($A$2:A626, A626, $C$2:C626, C626)&gt;1, "Duplicate", "Unique")</f>
        <v>Duplicate</v>
      </c>
      <c r="L626" t="str">
        <f t="shared" si="28"/>
        <v>Normal</v>
      </c>
      <c r="M626" t="str">
        <f t="shared" si="29"/>
        <v>Normal</v>
      </c>
      <c r="N626" s="55"/>
    </row>
    <row r="627" spans="1:14" x14ac:dyDescent="0.3">
      <c r="A627" t="s">
        <v>43</v>
      </c>
      <c r="B627" t="s">
        <v>44</v>
      </c>
      <c r="C627" s="2">
        <v>46083</v>
      </c>
      <c r="D627">
        <v>375</v>
      </c>
      <c r="E627">
        <v>82.5</v>
      </c>
      <c r="F627" s="8">
        <f t="shared" si="27"/>
        <v>4.5454545454545459</v>
      </c>
      <c r="G627">
        <v>2.2999999999999998</v>
      </c>
      <c r="H627">
        <v>8</v>
      </c>
      <c r="I627">
        <v>70.099999999999994</v>
      </c>
      <c r="J627">
        <v>93.1</v>
      </c>
      <c r="K627" t="str">
        <f>IF(COUNTIFS($A$2:A627, A627, $C$2:C627, C627)&gt;1, "Duplicate", "Unique")</f>
        <v>Unique</v>
      </c>
      <c r="L627" t="str">
        <f t="shared" si="28"/>
        <v>Normal</v>
      </c>
      <c r="M627" t="str">
        <f t="shared" si="29"/>
        <v>Normal</v>
      </c>
      <c r="N627" s="55"/>
    </row>
    <row r="628" spans="1:14" x14ac:dyDescent="0.3">
      <c r="A628" t="s">
        <v>43</v>
      </c>
      <c r="B628" t="s">
        <v>44</v>
      </c>
      <c r="C628" s="2">
        <v>46096</v>
      </c>
      <c r="D628">
        <v>351.5</v>
      </c>
      <c r="E628">
        <v>89.3</v>
      </c>
      <c r="F628" s="8">
        <f t="shared" si="27"/>
        <v>3.9361702127659575</v>
      </c>
      <c r="G628">
        <v>4.3</v>
      </c>
      <c r="H628">
        <v>5</v>
      </c>
      <c r="I628">
        <v>43</v>
      </c>
      <c r="J628">
        <v>85.5</v>
      </c>
      <c r="K628" t="str">
        <f>IF(COUNTIFS($A$2:A628, A628, $C$2:C628, C628)&gt;1, "Duplicate", "Unique")</f>
        <v>Unique</v>
      </c>
      <c r="L628" t="str">
        <f t="shared" si="28"/>
        <v>Normal</v>
      </c>
      <c r="M628" t="str">
        <f t="shared" si="29"/>
        <v>Normal</v>
      </c>
      <c r="N628" s="55"/>
    </row>
    <row r="629" spans="1:14" x14ac:dyDescent="0.3">
      <c r="A629" t="s">
        <v>43</v>
      </c>
      <c r="B629" t="s">
        <v>44</v>
      </c>
      <c r="C629" s="2">
        <v>46036</v>
      </c>
      <c r="D629">
        <v>133.19999999999999</v>
      </c>
      <c r="E629">
        <v>27.3</v>
      </c>
      <c r="F629" s="8">
        <f t="shared" si="27"/>
        <v>4.8791208791208787</v>
      </c>
      <c r="G629">
        <v>1.1000000000000001</v>
      </c>
      <c r="H629">
        <v>2</v>
      </c>
      <c r="I629">
        <v>71.099999999999994</v>
      </c>
      <c r="J629">
        <v>95.7</v>
      </c>
      <c r="K629" t="str">
        <f>IF(COUNTIFS($A$2:A629, A629, $C$2:C629, C629)&gt;1, "Duplicate", "Unique")</f>
        <v>Duplicate</v>
      </c>
      <c r="L629" t="str">
        <f t="shared" si="28"/>
        <v>Normal</v>
      </c>
      <c r="M629" t="str">
        <f t="shared" si="29"/>
        <v>Normal</v>
      </c>
      <c r="N629" s="55"/>
    </row>
    <row r="630" spans="1:14" x14ac:dyDescent="0.3">
      <c r="A630" t="s">
        <v>43</v>
      </c>
      <c r="B630" t="s">
        <v>44</v>
      </c>
      <c r="C630" s="2">
        <v>46084</v>
      </c>
      <c r="D630">
        <v>241.3</v>
      </c>
      <c r="E630">
        <v>47.5</v>
      </c>
      <c r="F630" s="8">
        <f t="shared" si="27"/>
        <v>5.08</v>
      </c>
      <c r="G630">
        <v>3.6</v>
      </c>
      <c r="H630">
        <v>2</v>
      </c>
      <c r="I630">
        <v>54.3</v>
      </c>
      <c r="J630">
        <v>85</v>
      </c>
      <c r="K630" t="str">
        <f>IF(COUNTIFS($A$2:A630, A630, $C$2:C630, C630)&gt;1, "Duplicate", "Unique")</f>
        <v>Unique</v>
      </c>
      <c r="L630" t="str">
        <f t="shared" si="28"/>
        <v>Normal</v>
      </c>
      <c r="M630" t="str">
        <f t="shared" si="29"/>
        <v>Normal</v>
      </c>
      <c r="N630" s="55"/>
    </row>
    <row r="631" spans="1:14" x14ac:dyDescent="0.3">
      <c r="A631" t="s">
        <v>43</v>
      </c>
      <c r="B631" t="s">
        <v>44</v>
      </c>
      <c r="C631" s="2">
        <v>46038</v>
      </c>
      <c r="D631">
        <v>289.89999999999998</v>
      </c>
      <c r="E631">
        <v>54.4</v>
      </c>
      <c r="F631" s="8">
        <f t="shared" si="27"/>
        <v>5.3290441176470589</v>
      </c>
      <c r="G631">
        <v>1.7</v>
      </c>
      <c r="H631">
        <v>5</v>
      </c>
      <c r="I631">
        <v>48</v>
      </c>
      <c r="J631">
        <v>94.5</v>
      </c>
      <c r="K631" t="str">
        <f>IF(COUNTIFS($A$2:A631, A631, $C$2:C631, C631)&gt;1, "Duplicate", "Unique")</f>
        <v>Unique</v>
      </c>
      <c r="L631" t="str">
        <f t="shared" si="28"/>
        <v>Normal</v>
      </c>
      <c r="M631" t="str">
        <f t="shared" si="29"/>
        <v>Normal</v>
      </c>
      <c r="N631" s="55"/>
    </row>
    <row r="632" spans="1:14" x14ac:dyDescent="0.3">
      <c r="A632" t="s">
        <v>43</v>
      </c>
      <c r="B632" t="s">
        <v>44</v>
      </c>
      <c r="C632" s="2">
        <v>46087</v>
      </c>
      <c r="D632">
        <v>274.89999999999998</v>
      </c>
      <c r="E632">
        <v>87.8</v>
      </c>
      <c r="F632" s="8">
        <f t="shared" si="27"/>
        <v>3.1309794988610475</v>
      </c>
      <c r="G632">
        <v>3.3</v>
      </c>
      <c r="H632">
        <v>5</v>
      </c>
      <c r="I632">
        <v>50.3</v>
      </c>
      <c r="J632">
        <v>90.5</v>
      </c>
      <c r="K632" t="str">
        <f>IF(COUNTIFS($A$2:A632, A632, $C$2:C632, C632)&gt;1, "Duplicate", "Unique")</f>
        <v>Unique</v>
      </c>
      <c r="L632" t="str">
        <f t="shared" si="28"/>
        <v>Normal</v>
      </c>
      <c r="M632" t="str">
        <f t="shared" si="29"/>
        <v>Normal</v>
      </c>
      <c r="N632" s="55"/>
    </row>
    <row r="633" spans="1:14" x14ac:dyDescent="0.3">
      <c r="A633" t="s">
        <v>43</v>
      </c>
      <c r="B633" t="s">
        <v>44</v>
      </c>
      <c r="C633" s="2">
        <v>46028</v>
      </c>
      <c r="D633">
        <v>131.6</v>
      </c>
      <c r="E633">
        <v>30.7</v>
      </c>
      <c r="F633" s="8">
        <f t="shared" si="27"/>
        <v>4.2866449511400653</v>
      </c>
      <c r="G633">
        <v>1.5</v>
      </c>
      <c r="H633">
        <v>7</v>
      </c>
      <c r="I633">
        <v>57.8</v>
      </c>
      <c r="J633">
        <v>88.3</v>
      </c>
      <c r="K633" t="str">
        <f>IF(COUNTIFS($A$2:A633, A633, $C$2:C633, C633)&gt;1, "Duplicate", "Unique")</f>
        <v>Unique</v>
      </c>
      <c r="L633" t="str">
        <f t="shared" si="28"/>
        <v>Normal</v>
      </c>
      <c r="M633" t="str">
        <f t="shared" si="29"/>
        <v>Normal</v>
      </c>
      <c r="N633" s="55"/>
    </row>
    <row r="634" spans="1:14" x14ac:dyDescent="0.3">
      <c r="A634" t="s">
        <v>43</v>
      </c>
      <c r="B634" t="s">
        <v>44</v>
      </c>
      <c r="C634" s="2">
        <v>46063</v>
      </c>
      <c r="D634">
        <v>303.2</v>
      </c>
      <c r="E634">
        <v>72.5</v>
      </c>
      <c r="F634" s="8">
        <f t="shared" si="27"/>
        <v>4.1820689655172414</v>
      </c>
      <c r="G634">
        <v>0.4</v>
      </c>
      <c r="H634">
        <v>6</v>
      </c>
      <c r="I634">
        <v>47.9</v>
      </c>
      <c r="J634">
        <v>95.7</v>
      </c>
      <c r="K634" t="str">
        <f>IF(COUNTIFS($A$2:A634, A634, $C$2:C634, C634)&gt;1, "Duplicate", "Unique")</f>
        <v>Duplicate</v>
      </c>
      <c r="L634" t="str">
        <f t="shared" si="28"/>
        <v>Normal</v>
      </c>
      <c r="M634" t="str">
        <f t="shared" si="29"/>
        <v>Normal</v>
      </c>
      <c r="N634" s="55"/>
    </row>
    <row r="635" spans="1:14" x14ac:dyDescent="0.3">
      <c r="A635" t="s">
        <v>43</v>
      </c>
      <c r="B635" t="s">
        <v>44</v>
      </c>
      <c r="C635" s="2">
        <v>46075</v>
      </c>
      <c r="D635">
        <v>205.9</v>
      </c>
      <c r="E635">
        <v>39.200000000000003</v>
      </c>
      <c r="F635" s="8">
        <f t="shared" si="27"/>
        <v>5.2525510204081627</v>
      </c>
      <c r="G635">
        <v>0.6</v>
      </c>
      <c r="H635">
        <v>3</v>
      </c>
      <c r="I635">
        <v>52.7</v>
      </c>
      <c r="J635">
        <v>97.5</v>
      </c>
      <c r="K635" t="str">
        <f>IF(COUNTIFS($A$2:A635, A635, $C$2:C635, C635)&gt;1, "Duplicate", "Unique")</f>
        <v>Unique</v>
      </c>
      <c r="L635" t="str">
        <f t="shared" si="28"/>
        <v>Normal</v>
      </c>
      <c r="M635" t="str">
        <f t="shared" si="29"/>
        <v>Normal</v>
      </c>
      <c r="N635" s="55"/>
    </row>
    <row r="636" spans="1:14" x14ac:dyDescent="0.3">
      <c r="A636" t="s">
        <v>31</v>
      </c>
      <c r="B636" t="s">
        <v>32</v>
      </c>
      <c r="C636" s="2">
        <v>46036</v>
      </c>
      <c r="D636">
        <v>402.1</v>
      </c>
      <c r="E636">
        <v>111.5</v>
      </c>
      <c r="F636" s="8">
        <f t="shared" si="27"/>
        <v>3.6062780269058297</v>
      </c>
      <c r="G636">
        <v>2.9</v>
      </c>
      <c r="H636">
        <v>4</v>
      </c>
      <c r="I636">
        <v>36.9</v>
      </c>
      <c r="J636">
        <v>96.4</v>
      </c>
      <c r="K636" t="str">
        <f>IF(COUNTIFS($A$2:A636, A636, $C$2:C636, C636)&gt;1, "Duplicate", "Unique")</f>
        <v>Unique</v>
      </c>
      <c r="L636" t="str">
        <f t="shared" si="28"/>
        <v>Normal</v>
      </c>
      <c r="M636" t="str">
        <f t="shared" si="29"/>
        <v>Normal</v>
      </c>
      <c r="N636" s="55"/>
    </row>
    <row r="637" spans="1:14" x14ac:dyDescent="0.3">
      <c r="A637" t="s">
        <v>31</v>
      </c>
      <c r="B637" t="s">
        <v>32</v>
      </c>
      <c r="C637" s="2">
        <v>46043</v>
      </c>
      <c r="D637">
        <v>101</v>
      </c>
      <c r="E637">
        <v>24.2</v>
      </c>
      <c r="F637" s="8">
        <f t="shared" si="27"/>
        <v>4.1735537190082646</v>
      </c>
      <c r="G637">
        <v>3.9</v>
      </c>
      <c r="H637">
        <v>2</v>
      </c>
      <c r="I637">
        <v>56.8</v>
      </c>
      <c r="J637">
        <v>95.1</v>
      </c>
      <c r="K637" t="str">
        <f>IF(COUNTIFS($A$2:A637, A637, $C$2:C637, C637)&gt;1, "Duplicate", "Unique")</f>
        <v>Unique</v>
      </c>
      <c r="L637" t="str">
        <f t="shared" si="28"/>
        <v>Normal</v>
      </c>
      <c r="M637" t="str">
        <f t="shared" si="29"/>
        <v>Normal</v>
      </c>
      <c r="N637" s="55"/>
    </row>
    <row r="638" spans="1:14" x14ac:dyDescent="0.3">
      <c r="A638" t="s">
        <v>31</v>
      </c>
      <c r="B638" t="s">
        <v>32</v>
      </c>
      <c r="C638" s="2">
        <v>46051</v>
      </c>
      <c r="D638">
        <v>429.8</v>
      </c>
      <c r="E638">
        <v>147.30000000000001</v>
      </c>
      <c r="F638" s="8">
        <f t="shared" si="27"/>
        <v>2.91785471826205</v>
      </c>
      <c r="G638">
        <v>3.6</v>
      </c>
      <c r="H638">
        <v>5</v>
      </c>
      <c r="I638">
        <v>50.6</v>
      </c>
      <c r="J638">
        <v>99.5</v>
      </c>
      <c r="K638" t="str">
        <f>IF(COUNTIFS($A$2:A638, A638, $C$2:C638, C638)&gt;1, "Duplicate", "Unique")</f>
        <v>Unique</v>
      </c>
      <c r="L638" t="str">
        <f t="shared" si="28"/>
        <v>Normal</v>
      </c>
      <c r="M638" t="str">
        <f t="shared" si="29"/>
        <v>Suspiciously Low Efficiency</v>
      </c>
      <c r="N638" s="55"/>
    </row>
    <row r="639" spans="1:14" x14ac:dyDescent="0.3">
      <c r="A639" t="s">
        <v>31</v>
      </c>
      <c r="B639" t="s">
        <v>32</v>
      </c>
      <c r="C639" s="2">
        <v>46090</v>
      </c>
      <c r="D639">
        <v>234.9</v>
      </c>
      <c r="E639">
        <v>72.599999999999994</v>
      </c>
      <c r="F639" s="8">
        <f t="shared" si="27"/>
        <v>3.2355371900826451</v>
      </c>
      <c r="G639">
        <v>1.1000000000000001</v>
      </c>
      <c r="H639">
        <v>3</v>
      </c>
      <c r="I639">
        <v>69.3</v>
      </c>
      <c r="J639">
        <v>85.8</v>
      </c>
      <c r="K639" t="str">
        <f>IF(COUNTIFS($A$2:A639, A639, $C$2:C639, C639)&gt;1, "Duplicate", "Unique")</f>
        <v>Unique</v>
      </c>
      <c r="L639" t="str">
        <f t="shared" si="28"/>
        <v>Normal</v>
      </c>
      <c r="M639" t="str">
        <f t="shared" si="29"/>
        <v>Normal</v>
      </c>
      <c r="N639" s="55"/>
    </row>
    <row r="640" spans="1:14" x14ac:dyDescent="0.3">
      <c r="A640" t="s">
        <v>31</v>
      </c>
      <c r="B640" t="s">
        <v>32</v>
      </c>
      <c r="C640" s="2">
        <v>46069</v>
      </c>
      <c r="D640">
        <v>105</v>
      </c>
      <c r="E640">
        <v>24.9</v>
      </c>
      <c r="F640" s="8">
        <f t="shared" si="27"/>
        <v>4.2168674698795181</v>
      </c>
      <c r="G640">
        <v>2.4</v>
      </c>
      <c r="H640">
        <v>1</v>
      </c>
      <c r="I640">
        <v>47.6</v>
      </c>
      <c r="J640">
        <v>92.1</v>
      </c>
      <c r="K640" t="str">
        <f>IF(COUNTIFS($A$2:A640, A640, $C$2:C640, C640)&gt;1, "Duplicate", "Unique")</f>
        <v>Unique</v>
      </c>
      <c r="L640" t="str">
        <f t="shared" si="28"/>
        <v>Normal</v>
      </c>
      <c r="M640" t="str">
        <f t="shared" si="29"/>
        <v>Normal</v>
      </c>
      <c r="N640" s="55"/>
    </row>
    <row r="641" spans="1:14" x14ac:dyDescent="0.3">
      <c r="A641" t="s">
        <v>31</v>
      </c>
      <c r="B641" t="s">
        <v>32</v>
      </c>
      <c r="C641" s="2">
        <v>46057</v>
      </c>
      <c r="D641">
        <v>376.4</v>
      </c>
      <c r="E641">
        <v>79</v>
      </c>
      <c r="F641" s="8">
        <f t="shared" si="27"/>
        <v>4.7645569620253161</v>
      </c>
      <c r="G641">
        <v>0.5</v>
      </c>
      <c r="H641">
        <v>3</v>
      </c>
      <c r="I641">
        <v>54.5</v>
      </c>
      <c r="J641">
        <v>89.8</v>
      </c>
      <c r="K641" t="str">
        <f>IF(COUNTIFS($A$2:A641, A641, $C$2:C641, C641)&gt;1, "Duplicate", "Unique")</f>
        <v>Unique</v>
      </c>
      <c r="L641" t="str">
        <f t="shared" si="28"/>
        <v>Normal</v>
      </c>
      <c r="M641" t="str">
        <f t="shared" si="29"/>
        <v>Normal</v>
      </c>
      <c r="N641" s="55"/>
    </row>
    <row r="642" spans="1:14" x14ac:dyDescent="0.3">
      <c r="A642" t="s">
        <v>31</v>
      </c>
      <c r="B642" t="s">
        <v>32</v>
      </c>
      <c r="C642" s="2">
        <v>46069</v>
      </c>
      <c r="D642">
        <v>227.3</v>
      </c>
      <c r="E642">
        <v>49.9</v>
      </c>
      <c r="F642" s="8">
        <f t="shared" si="27"/>
        <v>4.5551102204408824</v>
      </c>
      <c r="G642">
        <v>1.3</v>
      </c>
      <c r="H642">
        <v>2</v>
      </c>
      <c r="I642">
        <v>31.2</v>
      </c>
      <c r="J642">
        <v>87.8</v>
      </c>
      <c r="K642" t="str">
        <f>IF(COUNTIFS($A$2:A642, A642, $C$2:C642, C642)&gt;1, "Duplicate", "Unique")</f>
        <v>Duplicate</v>
      </c>
      <c r="L642" t="str">
        <f t="shared" si="28"/>
        <v>Normal</v>
      </c>
      <c r="M642" t="str">
        <f t="shared" si="29"/>
        <v>Normal</v>
      </c>
      <c r="N642" s="55"/>
    </row>
    <row r="643" spans="1:14" x14ac:dyDescent="0.3">
      <c r="A643" t="s">
        <v>31</v>
      </c>
      <c r="B643" t="s">
        <v>32</v>
      </c>
      <c r="C643" s="2">
        <v>46072</v>
      </c>
      <c r="D643">
        <v>418</v>
      </c>
      <c r="E643">
        <v>134.1</v>
      </c>
      <c r="F643" s="8">
        <f t="shared" ref="F643:F706" si="30">IFERROR(D643/E643,0)</f>
        <v>3.1170768083519764</v>
      </c>
      <c r="G643">
        <v>3.5</v>
      </c>
      <c r="H643">
        <v>8</v>
      </c>
      <c r="I643">
        <v>39.700000000000003</v>
      </c>
      <c r="J643">
        <v>94.2</v>
      </c>
      <c r="K643" t="str">
        <f>IF(COUNTIFS($A$2:A643, A643, $C$2:C643, C643)&gt;1, "Duplicate", "Unique")</f>
        <v>Unique</v>
      </c>
      <c r="L643" t="str">
        <f t="shared" ref="L643:L706" si="31">IF(G643 &gt; (AVERAGE($G$2:$G$811) + (3 * _xlfn.STDEV.P($G$2:$G$811))), "Extreme Idle Outlier", "Normal")</f>
        <v>Normal</v>
      </c>
      <c r="M643" t="str">
        <f t="shared" ref="M643:M706" si="32">IFERROR(IF((D643 / E643) &lt; 3, "Suspiciously Low Efficiency", "Normal"),0)</f>
        <v>Normal</v>
      </c>
      <c r="N643" s="55"/>
    </row>
    <row r="644" spans="1:14" x14ac:dyDescent="0.3">
      <c r="A644" t="s">
        <v>31</v>
      </c>
      <c r="B644" t="s">
        <v>32</v>
      </c>
      <c r="C644" s="2">
        <v>46101</v>
      </c>
      <c r="D644">
        <v>420.6</v>
      </c>
      <c r="E644">
        <v>81.599999999999994</v>
      </c>
      <c r="F644" s="8">
        <f t="shared" si="30"/>
        <v>5.1544117647058831</v>
      </c>
      <c r="G644">
        <v>3.4</v>
      </c>
      <c r="H644">
        <v>1</v>
      </c>
      <c r="I644">
        <v>61.8</v>
      </c>
      <c r="J644">
        <v>92.8</v>
      </c>
      <c r="K644" t="str">
        <f>IF(COUNTIFS($A$2:A644, A644, $C$2:C644, C644)&gt;1, "Duplicate", "Unique")</f>
        <v>Unique</v>
      </c>
      <c r="L644" t="str">
        <f t="shared" si="31"/>
        <v>Normal</v>
      </c>
      <c r="M644" t="str">
        <f t="shared" si="32"/>
        <v>Normal</v>
      </c>
      <c r="N644" s="55"/>
    </row>
    <row r="645" spans="1:14" x14ac:dyDescent="0.3">
      <c r="A645" t="s">
        <v>31</v>
      </c>
      <c r="B645" t="s">
        <v>32</v>
      </c>
      <c r="C645" s="2">
        <v>46051</v>
      </c>
      <c r="D645">
        <v>316</v>
      </c>
      <c r="E645">
        <v>107.4</v>
      </c>
      <c r="F645" s="8">
        <f t="shared" si="30"/>
        <v>2.9422718808193666</v>
      </c>
      <c r="G645">
        <v>2</v>
      </c>
      <c r="H645">
        <v>8</v>
      </c>
      <c r="I645">
        <v>34.5</v>
      </c>
      <c r="J645">
        <v>96.6</v>
      </c>
      <c r="K645" t="str">
        <f>IF(COUNTIFS($A$2:A645, A645, $C$2:C645, C645)&gt;1, "Duplicate", "Unique")</f>
        <v>Duplicate</v>
      </c>
      <c r="L645" t="str">
        <f t="shared" si="31"/>
        <v>Normal</v>
      </c>
      <c r="M645" t="str">
        <f t="shared" si="32"/>
        <v>Suspiciously Low Efficiency</v>
      </c>
      <c r="N645" s="55"/>
    </row>
    <row r="646" spans="1:14" x14ac:dyDescent="0.3">
      <c r="A646" t="s">
        <v>31</v>
      </c>
      <c r="B646" t="s">
        <v>32</v>
      </c>
      <c r="C646" s="2">
        <v>46082</v>
      </c>
      <c r="D646">
        <v>180.9</v>
      </c>
      <c r="E646">
        <v>36.299999999999997</v>
      </c>
      <c r="F646" s="8">
        <f t="shared" si="30"/>
        <v>4.9834710743801658</v>
      </c>
      <c r="G646">
        <v>1.6</v>
      </c>
      <c r="H646">
        <v>8</v>
      </c>
      <c r="I646">
        <v>59.2</v>
      </c>
      <c r="J646">
        <v>95.8</v>
      </c>
      <c r="K646" t="str">
        <f>IF(COUNTIFS($A$2:A646, A646, $C$2:C646, C646)&gt;1, "Duplicate", "Unique")</f>
        <v>Unique</v>
      </c>
      <c r="L646" t="str">
        <f t="shared" si="31"/>
        <v>Normal</v>
      </c>
      <c r="M646" t="str">
        <f t="shared" si="32"/>
        <v>Normal</v>
      </c>
      <c r="N646" s="55"/>
    </row>
    <row r="647" spans="1:14" x14ac:dyDescent="0.3">
      <c r="A647" t="s">
        <v>31</v>
      </c>
      <c r="B647" t="s">
        <v>32</v>
      </c>
      <c r="C647" s="2">
        <v>46062</v>
      </c>
      <c r="D647">
        <v>335.4</v>
      </c>
      <c r="E647">
        <v>74.099999999999994</v>
      </c>
      <c r="F647" s="8">
        <f t="shared" si="30"/>
        <v>4.5263157894736841</v>
      </c>
      <c r="G647">
        <v>4.2</v>
      </c>
      <c r="H647">
        <v>6</v>
      </c>
      <c r="I647">
        <v>57.7</v>
      </c>
      <c r="J647">
        <v>88.3</v>
      </c>
      <c r="K647" t="str">
        <f>IF(COUNTIFS($A$2:A647, A647, $C$2:C647, C647)&gt;1, "Duplicate", "Unique")</f>
        <v>Unique</v>
      </c>
      <c r="L647" t="str">
        <f t="shared" si="31"/>
        <v>Normal</v>
      </c>
      <c r="M647" t="str">
        <f t="shared" si="32"/>
        <v>Normal</v>
      </c>
      <c r="N647" s="55"/>
    </row>
    <row r="648" spans="1:14" x14ac:dyDescent="0.3">
      <c r="A648" t="s">
        <v>31</v>
      </c>
      <c r="B648" t="s">
        <v>32</v>
      </c>
      <c r="C648" s="2">
        <v>46051</v>
      </c>
      <c r="D648">
        <v>233</v>
      </c>
      <c r="E648">
        <v>65.8</v>
      </c>
      <c r="F648" s="8">
        <f t="shared" si="30"/>
        <v>3.5410334346504562</v>
      </c>
      <c r="G648">
        <v>2.6</v>
      </c>
      <c r="H648">
        <v>3</v>
      </c>
      <c r="I648">
        <v>58.2</v>
      </c>
      <c r="J648">
        <v>91.4</v>
      </c>
      <c r="K648" t="str">
        <f>IF(COUNTIFS($A$2:A648, A648, $C$2:C648, C648)&gt;1, "Duplicate", "Unique")</f>
        <v>Duplicate</v>
      </c>
      <c r="L648" t="str">
        <f t="shared" si="31"/>
        <v>Normal</v>
      </c>
      <c r="M648" t="str">
        <f t="shared" si="32"/>
        <v>Normal</v>
      </c>
      <c r="N648" s="55"/>
    </row>
    <row r="649" spans="1:14" x14ac:dyDescent="0.3">
      <c r="A649" t="s">
        <v>31</v>
      </c>
      <c r="B649" t="s">
        <v>32</v>
      </c>
      <c r="C649" s="2">
        <v>46045</v>
      </c>
      <c r="D649">
        <v>284.2</v>
      </c>
      <c r="E649">
        <v>76.900000000000006</v>
      </c>
      <c r="F649" s="8">
        <f t="shared" si="30"/>
        <v>3.6957087126137838</v>
      </c>
      <c r="G649">
        <v>2</v>
      </c>
      <c r="H649">
        <v>8</v>
      </c>
      <c r="I649">
        <v>40.4</v>
      </c>
      <c r="J649">
        <v>91.1</v>
      </c>
      <c r="K649" t="str">
        <f>IF(COUNTIFS($A$2:A649, A649, $C$2:C649, C649)&gt;1, "Duplicate", "Unique")</f>
        <v>Unique</v>
      </c>
      <c r="L649" t="str">
        <f t="shared" si="31"/>
        <v>Normal</v>
      </c>
      <c r="M649" t="str">
        <f t="shared" si="32"/>
        <v>Normal</v>
      </c>
      <c r="N649" s="55"/>
    </row>
    <row r="650" spans="1:14" x14ac:dyDescent="0.3">
      <c r="A650" t="s">
        <v>31</v>
      </c>
      <c r="B650" t="s">
        <v>32</v>
      </c>
      <c r="C650" s="2">
        <v>46110</v>
      </c>
      <c r="D650">
        <v>244.7</v>
      </c>
      <c r="E650">
        <v>86.7</v>
      </c>
      <c r="F650" s="8">
        <f t="shared" si="30"/>
        <v>2.8223760092272201</v>
      </c>
      <c r="G650">
        <v>1.7</v>
      </c>
      <c r="H650">
        <v>2</v>
      </c>
      <c r="I650">
        <v>74.5</v>
      </c>
      <c r="J650">
        <v>91.3</v>
      </c>
      <c r="K650" t="str">
        <f>IF(COUNTIFS($A$2:A650, A650, $C$2:C650, C650)&gt;1, "Duplicate", "Unique")</f>
        <v>Unique</v>
      </c>
      <c r="L650" t="str">
        <f t="shared" si="31"/>
        <v>Normal</v>
      </c>
      <c r="M650" t="str">
        <f t="shared" si="32"/>
        <v>Suspiciously Low Efficiency</v>
      </c>
      <c r="N650" s="55"/>
    </row>
    <row r="651" spans="1:14" x14ac:dyDescent="0.3">
      <c r="A651" t="s">
        <v>31</v>
      </c>
      <c r="B651" t="s">
        <v>32</v>
      </c>
      <c r="C651" s="2">
        <v>46076</v>
      </c>
      <c r="D651">
        <v>437.3</v>
      </c>
      <c r="E651">
        <v>93.9</v>
      </c>
      <c r="F651" s="8">
        <f t="shared" si="30"/>
        <v>4.6570820021299255</v>
      </c>
      <c r="G651">
        <v>4.2</v>
      </c>
      <c r="H651">
        <v>4</v>
      </c>
      <c r="I651">
        <v>51.4</v>
      </c>
      <c r="J651">
        <v>86.2</v>
      </c>
      <c r="K651" t="str">
        <f>IF(COUNTIFS($A$2:A651, A651, $C$2:C651, C651)&gt;1, "Duplicate", "Unique")</f>
        <v>Unique</v>
      </c>
      <c r="L651" t="str">
        <f t="shared" si="31"/>
        <v>Normal</v>
      </c>
      <c r="M651" t="str">
        <f t="shared" si="32"/>
        <v>Normal</v>
      </c>
      <c r="N651" s="55"/>
    </row>
    <row r="652" spans="1:14" x14ac:dyDescent="0.3">
      <c r="A652" t="s">
        <v>31</v>
      </c>
      <c r="B652" t="s">
        <v>32</v>
      </c>
      <c r="C652" s="2">
        <v>46076</v>
      </c>
      <c r="D652">
        <v>121.6</v>
      </c>
      <c r="E652">
        <v>38</v>
      </c>
      <c r="F652" s="8">
        <f t="shared" si="30"/>
        <v>3.1999999999999997</v>
      </c>
      <c r="G652">
        <v>2.6</v>
      </c>
      <c r="H652">
        <v>2</v>
      </c>
      <c r="I652">
        <v>71.599999999999994</v>
      </c>
      <c r="J652">
        <v>93.4</v>
      </c>
      <c r="K652" t="str">
        <f>IF(COUNTIFS($A$2:A652, A652, $C$2:C652, C652)&gt;1, "Duplicate", "Unique")</f>
        <v>Duplicate</v>
      </c>
      <c r="L652" t="str">
        <f t="shared" si="31"/>
        <v>Normal</v>
      </c>
      <c r="M652" t="str">
        <f t="shared" si="32"/>
        <v>Normal</v>
      </c>
      <c r="N652" s="55"/>
    </row>
    <row r="653" spans="1:14" x14ac:dyDescent="0.3">
      <c r="A653" t="s">
        <v>31</v>
      </c>
      <c r="B653" t="s">
        <v>32</v>
      </c>
      <c r="C653" s="2">
        <v>46073</v>
      </c>
      <c r="D653">
        <v>315.10000000000002</v>
      </c>
      <c r="E653">
        <v>100.5</v>
      </c>
      <c r="F653" s="8">
        <f t="shared" si="30"/>
        <v>3.1353233830845775</v>
      </c>
      <c r="G653">
        <v>0.3</v>
      </c>
      <c r="H653">
        <v>6</v>
      </c>
      <c r="I653">
        <v>52</v>
      </c>
      <c r="J653">
        <v>91.7</v>
      </c>
      <c r="K653" t="str">
        <f>IF(COUNTIFS($A$2:A653, A653, $C$2:C653, C653)&gt;1, "Duplicate", "Unique")</f>
        <v>Unique</v>
      </c>
      <c r="L653" t="str">
        <f t="shared" si="31"/>
        <v>Normal</v>
      </c>
      <c r="M653" t="str">
        <f t="shared" si="32"/>
        <v>Normal</v>
      </c>
      <c r="N653" s="55"/>
    </row>
    <row r="654" spans="1:14" x14ac:dyDescent="0.3">
      <c r="A654" t="s">
        <v>31</v>
      </c>
      <c r="B654" t="s">
        <v>32</v>
      </c>
      <c r="C654" s="2">
        <v>46057</v>
      </c>
      <c r="D654">
        <v>310.39999999999998</v>
      </c>
      <c r="E654">
        <v>66.2</v>
      </c>
      <c r="F654" s="8">
        <f t="shared" si="30"/>
        <v>4.6888217522658602</v>
      </c>
      <c r="G654">
        <v>2</v>
      </c>
      <c r="H654">
        <v>2</v>
      </c>
      <c r="I654">
        <v>53</v>
      </c>
      <c r="J654">
        <v>94.3</v>
      </c>
      <c r="K654" t="str">
        <f>IF(COUNTIFS($A$2:A654, A654, $C$2:C654, C654)&gt;1, "Duplicate", "Unique")</f>
        <v>Duplicate</v>
      </c>
      <c r="L654" t="str">
        <f t="shared" si="31"/>
        <v>Normal</v>
      </c>
      <c r="M654" t="str">
        <f t="shared" si="32"/>
        <v>Normal</v>
      </c>
      <c r="N654" s="55"/>
    </row>
    <row r="655" spans="1:14" x14ac:dyDescent="0.3">
      <c r="A655" t="s">
        <v>31</v>
      </c>
      <c r="B655" t="s">
        <v>32</v>
      </c>
      <c r="C655" s="2">
        <v>46032</v>
      </c>
      <c r="D655">
        <v>347.7</v>
      </c>
      <c r="E655">
        <v>113.1</v>
      </c>
      <c r="F655" s="8">
        <f t="shared" si="30"/>
        <v>3.0742705570291777</v>
      </c>
      <c r="G655">
        <v>1.3</v>
      </c>
      <c r="H655">
        <v>4</v>
      </c>
      <c r="I655">
        <v>50.6</v>
      </c>
      <c r="J655">
        <v>99.7</v>
      </c>
      <c r="K655" t="str">
        <f>IF(COUNTIFS($A$2:A655, A655, $C$2:C655, C655)&gt;1, "Duplicate", "Unique")</f>
        <v>Unique</v>
      </c>
      <c r="L655" t="str">
        <f t="shared" si="31"/>
        <v>Normal</v>
      </c>
      <c r="M655" t="str">
        <f t="shared" si="32"/>
        <v>Normal</v>
      </c>
      <c r="N655" s="55"/>
    </row>
    <row r="656" spans="1:14" x14ac:dyDescent="0.3">
      <c r="A656" t="s">
        <v>31</v>
      </c>
      <c r="B656" t="s">
        <v>32</v>
      </c>
      <c r="C656" s="2">
        <v>46083</v>
      </c>
      <c r="D656">
        <v>395.2</v>
      </c>
      <c r="E656">
        <v>76.8</v>
      </c>
      <c r="F656" s="8">
        <f t="shared" si="30"/>
        <v>5.145833333333333</v>
      </c>
      <c r="G656">
        <v>0.5</v>
      </c>
      <c r="H656">
        <v>8</v>
      </c>
      <c r="I656">
        <v>44.4</v>
      </c>
      <c r="J656">
        <v>90</v>
      </c>
      <c r="K656" t="str">
        <f>IF(COUNTIFS($A$2:A656, A656, $C$2:C656, C656)&gt;1, "Duplicate", "Unique")</f>
        <v>Unique</v>
      </c>
      <c r="L656" t="str">
        <f t="shared" si="31"/>
        <v>Normal</v>
      </c>
      <c r="M656" t="str">
        <f t="shared" si="32"/>
        <v>Normal</v>
      </c>
      <c r="N656" s="55"/>
    </row>
    <row r="657" spans="1:14" x14ac:dyDescent="0.3">
      <c r="A657" t="s">
        <v>31</v>
      </c>
      <c r="B657" t="s">
        <v>32</v>
      </c>
      <c r="C657" s="2">
        <v>46061</v>
      </c>
      <c r="D657">
        <v>391.9</v>
      </c>
      <c r="E657">
        <v>91.6</v>
      </c>
      <c r="F657" s="8">
        <f t="shared" si="30"/>
        <v>4.2783842794759828</v>
      </c>
      <c r="G657">
        <v>1.5</v>
      </c>
      <c r="H657">
        <v>4</v>
      </c>
      <c r="I657">
        <v>39</v>
      </c>
      <c r="J657">
        <v>94.4</v>
      </c>
      <c r="K657" t="str">
        <f>IF(COUNTIFS($A$2:A657, A657, $C$2:C657, C657)&gt;1, "Duplicate", "Unique")</f>
        <v>Unique</v>
      </c>
      <c r="L657" t="str">
        <f t="shared" si="31"/>
        <v>Normal</v>
      </c>
      <c r="M657" t="str">
        <f t="shared" si="32"/>
        <v>Normal</v>
      </c>
      <c r="N657" s="55"/>
    </row>
    <row r="658" spans="1:14" x14ac:dyDescent="0.3">
      <c r="A658" t="s">
        <v>31</v>
      </c>
      <c r="B658" t="s">
        <v>32</v>
      </c>
      <c r="C658" s="2">
        <v>46103</v>
      </c>
      <c r="D658">
        <v>91.5</v>
      </c>
      <c r="E658">
        <v>20.9</v>
      </c>
      <c r="F658" s="8">
        <f t="shared" si="30"/>
        <v>4.3779904306220097</v>
      </c>
      <c r="G658">
        <v>1.9</v>
      </c>
      <c r="H658">
        <v>4</v>
      </c>
      <c r="I658">
        <v>70.8</v>
      </c>
      <c r="J658">
        <v>93.3</v>
      </c>
      <c r="K658" t="str">
        <f>IF(COUNTIFS($A$2:A658, A658, $C$2:C658, C658)&gt;1, "Duplicate", "Unique")</f>
        <v>Unique</v>
      </c>
      <c r="L658" t="str">
        <f t="shared" si="31"/>
        <v>Normal</v>
      </c>
      <c r="M658" t="str">
        <f t="shared" si="32"/>
        <v>Normal</v>
      </c>
      <c r="N658" s="55"/>
    </row>
    <row r="659" spans="1:14" x14ac:dyDescent="0.3">
      <c r="A659" t="s">
        <v>31</v>
      </c>
      <c r="B659" t="s">
        <v>32</v>
      </c>
      <c r="C659" s="2">
        <v>46089</v>
      </c>
      <c r="D659">
        <v>338.4</v>
      </c>
      <c r="E659">
        <v>75.900000000000006</v>
      </c>
      <c r="F659" s="8">
        <f t="shared" si="30"/>
        <v>4.4584980237154141</v>
      </c>
      <c r="G659">
        <v>3.1</v>
      </c>
      <c r="H659">
        <v>6</v>
      </c>
      <c r="I659">
        <v>40.799999999999997</v>
      </c>
      <c r="J659">
        <v>85</v>
      </c>
      <c r="K659" t="str">
        <f>IF(COUNTIFS($A$2:A659, A659, $C$2:C659, C659)&gt;1, "Duplicate", "Unique")</f>
        <v>Unique</v>
      </c>
      <c r="L659" t="str">
        <f t="shared" si="31"/>
        <v>Normal</v>
      </c>
      <c r="M659" t="str">
        <f t="shared" si="32"/>
        <v>Normal</v>
      </c>
      <c r="N659" s="55"/>
    </row>
    <row r="660" spans="1:14" x14ac:dyDescent="0.3">
      <c r="A660" t="s">
        <v>31</v>
      </c>
      <c r="B660" t="s">
        <v>32</v>
      </c>
      <c r="C660" s="2">
        <v>46058</v>
      </c>
      <c r="D660">
        <v>227.2</v>
      </c>
      <c r="E660">
        <v>47.1</v>
      </c>
      <c r="F660" s="8">
        <f t="shared" si="30"/>
        <v>4.8237791932059446</v>
      </c>
      <c r="G660">
        <v>0.8</v>
      </c>
      <c r="H660">
        <v>7</v>
      </c>
      <c r="I660">
        <v>51.5</v>
      </c>
      <c r="J660">
        <v>93.1</v>
      </c>
      <c r="K660" t="str">
        <f>IF(COUNTIFS($A$2:A660, A660, $C$2:C660, C660)&gt;1, "Duplicate", "Unique")</f>
        <v>Unique</v>
      </c>
      <c r="L660" t="str">
        <f t="shared" si="31"/>
        <v>Normal</v>
      </c>
      <c r="M660" t="str">
        <f t="shared" si="32"/>
        <v>Normal</v>
      </c>
      <c r="N660" s="55"/>
    </row>
    <row r="661" spans="1:14" x14ac:dyDescent="0.3">
      <c r="A661" t="s">
        <v>31</v>
      </c>
      <c r="B661" t="s">
        <v>32</v>
      </c>
      <c r="C661" s="2">
        <v>46067</v>
      </c>
      <c r="D661">
        <v>225.7</v>
      </c>
      <c r="E661">
        <v>48.5</v>
      </c>
      <c r="F661" s="8">
        <f t="shared" si="30"/>
        <v>4.6536082474226799</v>
      </c>
      <c r="G661">
        <v>1</v>
      </c>
      <c r="H661">
        <v>2</v>
      </c>
      <c r="I661">
        <v>61.4</v>
      </c>
      <c r="J661">
        <v>91.9</v>
      </c>
      <c r="K661" t="str">
        <f>IF(COUNTIFS($A$2:A661, A661, $C$2:C661, C661)&gt;1, "Duplicate", "Unique")</f>
        <v>Unique</v>
      </c>
      <c r="L661" t="str">
        <f t="shared" si="31"/>
        <v>Normal</v>
      </c>
      <c r="M661" t="str">
        <f t="shared" si="32"/>
        <v>Normal</v>
      </c>
      <c r="N661" s="55"/>
    </row>
    <row r="662" spans="1:14" x14ac:dyDescent="0.3">
      <c r="A662" t="s">
        <v>31</v>
      </c>
      <c r="B662" t="s">
        <v>32</v>
      </c>
      <c r="C662" s="2">
        <v>46091</v>
      </c>
      <c r="D662">
        <v>346.6</v>
      </c>
      <c r="E662">
        <v>70.400000000000006</v>
      </c>
      <c r="F662" s="8">
        <f t="shared" si="30"/>
        <v>4.9232954545454541</v>
      </c>
      <c r="G662">
        <v>1.5</v>
      </c>
      <c r="H662">
        <v>1</v>
      </c>
      <c r="I662">
        <v>47.9</v>
      </c>
      <c r="J662">
        <v>95.4</v>
      </c>
      <c r="K662" t="str">
        <f>IF(COUNTIFS($A$2:A662, A662, $C$2:C662, C662)&gt;1, "Duplicate", "Unique")</f>
        <v>Unique</v>
      </c>
      <c r="L662" t="str">
        <f t="shared" si="31"/>
        <v>Normal</v>
      </c>
      <c r="M662" t="str">
        <f t="shared" si="32"/>
        <v>Normal</v>
      </c>
      <c r="N662" s="55"/>
    </row>
    <row r="663" spans="1:14" x14ac:dyDescent="0.3">
      <c r="A663" t="s">
        <v>31</v>
      </c>
      <c r="B663" t="s">
        <v>32</v>
      </c>
      <c r="C663" s="2">
        <v>46044</v>
      </c>
      <c r="D663">
        <v>90.6</v>
      </c>
      <c r="E663">
        <v>19.7</v>
      </c>
      <c r="F663" s="8">
        <f t="shared" si="30"/>
        <v>4.5989847715736039</v>
      </c>
      <c r="G663">
        <v>3.9</v>
      </c>
      <c r="H663">
        <v>6</v>
      </c>
      <c r="I663">
        <v>68.900000000000006</v>
      </c>
      <c r="J663">
        <v>92</v>
      </c>
      <c r="K663" t="str">
        <f>IF(COUNTIFS($A$2:A663, A663, $C$2:C663, C663)&gt;1, "Duplicate", "Unique")</f>
        <v>Unique</v>
      </c>
      <c r="L663" t="str">
        <f t="shared" si="31"/>
        <v>Normal</v>
      </c>
      <c r="M663" t="str">
        <f t="shared" si="32"/>
        <v>Normal</v>
      </c>
      <c r="N663" s="55"/>
    </row>
    <row r="664" spans="1:14" x14ac:dyDescent="0.3">
      <c r="A664" t="s">
        <v>31</v>
      </c>
      <c r="B664" t="s">
        <v>32</v>
      </c>
      <c r="C664" s="2">
        <v>46101</v>
      </c>
      <c r="D664">
        <v>431.4</v>
      </c>
      <c r="E664">
        <v>112.9</v>
      </c>
      <c r="F664" s="8">
        <f t="shared" si="30"/>
        <v>3.8210806023029225</v>
      </c>
      <c r="G664">
        <v>1.8</v>
      </c>
      <c r="H664">
        <v>3</v>
      </c>
      <c r="I664">
        <v>71.099999999999994</v>
      </c>
      <c r="J664">
        <v>93.5</v>
      </c>
      <c r="K664" t="str">
        <f>IF(COUNTIFS($A$2:A664, A664, $C$2:C664, C664)&gt;1, "Duplicate", "Unique")</f>
        <v>Duplicate</v>
      </c>
      <c r="L664" t="str">
        <f t="shared" si="31"/>
        <v>Normal</v>
      </c>
      <c r="M664" t="str">
        <f t="shared" si="32"/>
        <v>Normal</v>
      </c>
      <c r="N664" s="55"/>
    </row>
    <row r="665" spans="1:14" x14ac:dyDescent="0.3">
      <c r="A665" t="s">
        <v>31</v>
      </c>
      <c r="B665" t="s">
        <v>32</v>
      </c>
      <c r="C665" s="2">
        <v>46062</v>
      </c>
      <c r="D665">
        <v>366.9</v>
      </c>
      <c r="E665">
        <v>115.1</v>
      </c>
      <c r="F665" s="8">
        <f t="shared" si="30"/>
        <v>3.1876629018245004</v>
      </c>
      <c r="G665">
        <v>3.9</v>
      </c>
      <c r="H665">
        <v>3</v>
      </c>
      <c r="I665">
        <v>39.200000000000003</v>
      </c>
      <c r="J665">
        <v>85.5</v>
      </c>
      <c r="K665" t="str">
        <f>IF(COUNTIFS($A$2:A665, A665, $C$2:C665, C665)&gt;1, "Duplicate", "Unique")</f>
        <v>Duplicate</v>
      </c>
      <c r="L665" t="str">
        <f t="shared" si="31"/>
        <v>Normal</v>
      </c>
      <c r="M665" t="str">
        <f t="shared" si="32"/>
        <v>Normal</v>
      </c>
      <c r="N665" s="55"/>
    </row>
    <row r="666" spans="1:14" x14ac:dyDescent="0.3">
      <c r="A666" t="s">
        <v>31</v>
      </c>
      <c r="B666" t="s">
        <v>32</v>
      </c>
      <c r="C666" s="2">
        <v>46081</v>
      </c>
      <c r="D666">
        <v>427.8</v>
      </c>
      <c r="E666">
        <v>83.1</v>
      </c>
      <c r="F666" s="8">
        <f t="shared" si="30"/>
        <v>5.1480144404332133</v>
      </c>
      <c r="G666">
        <v>2.5</v>
      </c>
      <c r="H666">
        <v>4</v>
      </c>
      <c r="I666">
        <v>71.599999999999994</v>
      </c>
      <c r="J666">
        <v>85.6</v>
      </c>
      <c r="K666" t="str">
        <f>IF(COUNTIFS($A$2:A666, A666, $C$2:C666, C666)&gt;1, "Duplicate", "Unique")</f>
        <v>Unique</v>
      </c>
      <c r="L666" t="str">
        <f t="shared" si="31"/>
        <v>Normal</v>
      </c>
      <c r="M666" t="str">
        <f t="shared" si="32"/>
        <v>Normal</v>
      </c>
      <c r="N666" s="55"/>
    </row>
    <row r="667" spans="1:14" x14ac:dyDescent="0.3">
      <c r="A667" t="s">
        <v>31</v>
      </c>
      <c r="B667" t="s">
        <v>32</v>
      </c>
      <c r="C667" s="2">
        <v>46080</v>
      </c>
      <c r="D667">
        <v>232.5</v>
      </c>
      <c r="E667">
        <v>43.6</v>
      </c>
      <c r="F667" s="8">
        <f t="shared" si="30"/>
        <v>5.3325688073394497</v>
      </c>
      <c r="G667">
        <v>2.8</v>
      </c>
      <c r="H667">
        <v>1</v>
      </c>
      <c r="I667">
        <v>56.8</v>
      </c>
      <c r="J667">
        <v>95.8</v>
      </c>
      <c r="K667" t="str">
        <f>IF(COUNTIFS($A$2:A667, A667, $C$2:C667, C667)&gt;1, "Duplicate", "Unique")</f>
        <v>Unique</v>
      </c>
      <c r="L667" t="str">
        <f t="shared" si="31"/>
        <v>Normal</v>
      </c>
      <c r="M667" t="str">
        <f t="shared" si="32"/>
        <v>Normal</v>
      </c>
      <c r="N667" s="55"/>
    </row>
    <row r="668" spans="1:14" x14ac:dyDescent="0.3">
      <c r="A668" t="s">
        <v>31</v>
      </c>
      <c r="B668" t="s">
        <v>32</v>
      </c>
      <c r="C668" s="2">
        <v>46035</v>
      </c>
      <c r="D668">
        <v>309</v>
      </c>
      <c r="E668">
        <v>60.2</v>
      </c>
      <c r="F668" s="8">
        <f t="shared" si="30"/>
        <v>5.132890365448505</v>
      </c>
      <c r="G668">
        <v>4.4000000000000004</v>
      </c>
      <c r="H668">
        <v>4</v>
      </c>
      <c r="I668">
        <v>50.9</v>
      </c>
      <c r="J668">
        <v>94.4</v>
      </c>
      <c r="K668" t="str">
        <f>IF(COUNTIFS($A$2:A668, A668, $C$2:C668, C668)&gt;1, "Duplicate", "Unique")</f>
        <v>Unique</v>
      </c>
      <c r="L668" t="str">
        <f t="shared" si="31"/>
        <v>Normal</v>
      </c>
      <c r="M668" t="str">
        <f t="shared" si="32"/>
        <v>Normal</v>
      </c>
      <c r="N668" s="55"/>
    </row>
    <row r="669" spans="1:14" x14ac:dyDescent="0.3">
      <c r="A669" t="s">
        <v>31</v>
      </c>
      <c r="B669" t="s">
        <v>32</v>
      </c>
      <c r="C669" s="2">
        <v>46027</v>
      </c>
      <c r="D669">
        <v>237.5</v>
      </c>
      <c r="E669">
        <v>61.5</v>
      </c>
      <c r="F669" s="8">
        <f t="shared" si="30"/>
        <v>3.8617886178861789</v>
      </c>
      <c r="G669">
        <v>3.7</v>
      </c>
      <c r="H669">
        <v>2</v>
      </c>
      <c r="I669">
        <v>50.4</v>
      </c>
      <c r="J669">
        <v>88.6</v>
      </c>
      <c r="K669" t="str">
        <f>IF(COUNTIFS($A$2:A669, A669, $C$2:C669, C669)&gt;1, "Duplicate", "Unique")</f>
        <v>Unique</v>
      </c>
      <c r="L669" t="str">
        <f t="shared" si="31"/>
        <v>Normal</v>
      </c>
      <c r="M669" t="str">
        <f t="shared" si="32"/>
        <v>Normal</v>
      </c>
      <c r="N669" s="55"/>
    </row>
    <row r="670" spans="1:14" x14ac:dyDescent="0.3">
      <c r="A670" t="s">
        <v>31</v>
      </c>
      <c r="B670" t="s">
        <v>32</v>
      </c>
      <c r="C670" s="2">
        <v>46065</v>
      </c>
      <c r="D670">
        <v>104.5</v>
      </c>
      <c r="E670">
        <v>19.399999999999999</v>
      </c>
      <c r="F670" s="8">
        <f t="shared" si="30"/>
        <v>5.3865979381443303</v>
      </c>
      <c r="G670">
        <v>3.5</v>
      </c>
      <c r="H670">
        <v>2</v>
      </c>
      <c r="I670">
        <v>30.3</v>
      </c>
      <c r="J670">
        <v>94.6</v>
      </c>
      <c r="K670" t="str">
        <f>IF(COUNTIFS($A$2:A670, A670, $C$2:C670, C670)&gt;1, "Duplicate", "Unique")</f>
        <v>Unique</v>
      </c>
      <c r="L670" t="str">
        <f t="shared" si="31"/>
        <v>Normal</v>
      </c>
      <c r="M670" t="str">
        <f t="shared" si="32"/>
        <v>Normal</v>
      </c>
      <c r="N670" s="55"/>
    </row>
    <row r="671" spans="1:14" x14ac:dyDescent="0.3">
      <c r="A671" t="s">
        <v>13</v>
      </c>
      <c r="B671" t="s">
        <v>14</v>
      </c>
      <c r="C671" s="2">
        <v>46076</v>
      </c>
      <c r="D671">
        <v>161.6</v>
      </c>
      <c r="E671">
        <v>36.799999999999997</v>
      </c>
      <c r="F671" s="8">
        <f t="shared" si="30"/>
        <v>4.3913043478260869</v>
      </c>
      <c r="G671">
        <v>3.7</v>
      </c>
      <c r="H671">
        <v>1</v>
      </c>
      <c r="I671">
        <v>64.099999999999994</v>
      </c>
      <c r="J671">
        <v>87.4</v>
      </c>
      <c r="K671" t="str">
        <f>IF(COUNTIFS($A$2:A671, A671, $C$2:C671, C671)&gt;1, "Duplicate", "Unique")</f>
        <v>Unique</v>
      </c>
      <c r="L671" t="str">
        <f t="shared" si="31"/>
        <v>Normal</v>
      </c>
      <c r="M671" t="str">
        <f t="shared" si="32"/>
        <v>Normal</v>
      </c>
      <c r="N671" s="55"/>
    </row>
    <row r="672" spans="1:14" x14ac:dyDescent="0.3">
      <c r="A672" t="s">
        <v>13</v>
      </c>
      <c r="B672" t="s">
        <v>14</v>
      </c>
      <c r="C672" s="2">
        <v>46060</v>
      </c>
      <c r="D672">
        <v>386.9</v>
      </c>
      <c r="E672">
        <v>86.6</v>
      </c>
      <c r="F672" s="8">
        <f t="shared" si="30"/>
        <v>4.4676674364896076</v>
      </c>
      <c r="G672">
        <v>3.9</v>
      </c>
      <c r="H672">
        <v>4</v>
      </c>
      <c r="I672">
        <v>61.7</v>
      </c>
      <c r="J672">
        <v>85.7</v>
      </c>
      <c r="K672" t="str">
        <f>IF(COUNTIFS($A$2:A672, A672, $C$2:C672, C672)&gt;1, "Duplicate", "Unique")</f>
        <v>Unique</v>
      </c>
      <c r="L672" t="str">
        <f t="shared" si="31"/>
        <v>Normal</v>
      </c>
      <c r="M672" t="str">
        <f t="shared" si="32"/>
        <v>Normal</v>
      </c>
      <c r="N672" s="55"/>
    </row>
    <row r="673" spans="1:14" x14ac:dyDescent="0.3">
      <c r="A673" t="s">
        <v>13</v>
      </c>
      <c r="B673" t="s">
        <v>14</v>
      </c>
      <c r="C673" s="2">
        <v>46091</v>
      </c>
      <c r="D673">
        <v>177.2</v>
      </c>
      <c r="E673">
        <v>40.5</v>
      </c>
      <c r="F673" s="8">
        <f t="shared" si="30"/>
        <v>4.375308641975308</v>
      </c>
      <c r="G673">
        <v>4.0999999999999996</v>
      </c>
      <c r="H673">
        <v>7</v>
      </c>
      <c r="I673">
        <v>46.3</v>
      </c>
      <c r="J673">
        <v>100</v>
      </c>
      <c r="K673" t="str">
        <f>IF(COUNTIFS($A$2:A673, A673, $C$2:C673, C673)&gt;1, "Duplicate", "Unique")</f>
        <v>Unique</v>
      </c>
      <c r="L673" t="str">
        <f t="shared" si="31"/>
        <v>Normal</v>
      </c>
      <c r="M673" t="str">
        <f t="shared" si="32"/>
        <v>Normal</v>
      </c>
      <c r="N673" s="55"/>
    </row>
    <row r="674" spans="1:14" x14ac:dyDescent="0.3">
      <c r="A674" t="s">
        <v>13</v>
      </c>
      <c r="B674" t="s">
        <v>14</v>
      </c>
      <c r="C674" s="2">
        <v>46090</v>
      </c>
      <c r="D674">
        <v>419.8</v>
      </c>
      <c r="F674" s="8">
        <f t="shared" si="30"/>
        <v>0</v>
      </c>
      <c r="G674">
        <v>2.2999999999999998</v>
      </c>
      <c r="H674">
        <v>2</v>
      </c>
      <c r="I674">
        <v>71.8</v>
      </c>
      <c r="J674">
        <v>98.2</v>
      </c>
      <c r="K674" t="str">
        <f>IF(COUNTIFS($A$2:A674, A674, $C$2:C674, C674)&gt;1, "Duplicate", "Unique")</f>
        <v>Unique</v>
      </c>
      <c r="L674" t="str">
        <f t="shared" si="31"/>
        <v>Normal</v>
      </c>
      <c r="M674">
        <f t="shared" si="32"/>
        <v>0</v>
      </c>
      <c r="N674" s="55"/>
    </row>
    <row r="675" spans="1:14" x14ac:dyDescent="0.3">
      <c r="A675" t="s">
        <v>13</v>
      </c>
      <c r="B675" t="s">
        <v>14</v>
      </c>
      <c r="C675" s="2">
        <v>46039</v>
      </c>
      <c r="D675">
        <v>127.5</v>
      </c>
      <c r="E675">
        <v>31.2</v>
      </c>
      <c r="F675" s="8">
        <f t="shared" si="30"/>
        <v>4.0865384615384617</v>
      </c>
      <c r="G675">
        <v>2.6</v>
      </c>
      <c r="H675">
        <v>5</v>
      </c>
      <c r="I675">
        <v>53.7</v>
      </c>
      <c r="J675">
        <v>94.1</v>
      </c>
      <c r="K675" t="str">
        <f>IF(COUNTIFS($A$2:A675, A675, $C$2:C675, C675)&gt;1, "Duplicate", "Unique")</f>
        <v>Unique</v>
      </c>
      <c r="L675" t="str">
        <f t="shared" si="31"/>
        <v>Normal</v>
      </c>
      <c r="M675" t="str">
        <f t="shared" si="32"/>
        <v>Normal</v>
      </c>
      <c r="N675" s="55"/>
    </row>
    <row r="676" spans="1:14" x14ac:dyDescent="0.3">
      <c r="A676" t="s">
        <v>13</v>
      </c>
      <c r="B676" t="s">
        <v>14</v>
      </c>
      <c r="C676" s="2">
        <v>46035</v>
      </c>
      <c r="D676">
        <v>98.7</v>
      </c>
      <c r="E676">
        <v>18</v>
      </c>
      <c r="F676" s="8">
        <f t="shared" si="30"/>
        <v>5.4833333333333334</v>
      </c>
      <c r="G676">
        <v>3.8</v>
      </c>
      <c r="H676">
        <v>2</v>
      </c>
      <c r="I676">
        <v>71.7</v>
      </c>
      <c r="J676">
        <v>97.7</v>
      </c>
      <c r="K676" t="str">
        <f>IF(COUNTIFS($A$2:A676, A676, $C$2:C676, C676)&gt;1, "Duplicate", "Unique")</f>
        <v>Unique</v>
      </c>
      <c r="L676" t="str">
        <f t="shared" si="31"/>
        <v>Normal</v>
      </c>
      <c r="M676" t="str">
        <f t="shared" si="32"/>
        <v>Normal</v>
      </c>
      <c r="N676" s="55"/>
    </row>
    <row r="677" spans="1:14" x14ac:dyDescent="0.3">
      <c r="A677" t="s">
        <v>13</v>
      </c>
      <c r="B677" t="s">
        <v>14</v>
      </c>
      <c r="C677" s="2">
        <v>46065</v>
      </c>
      <c r="D677">
        <v>427.5</v>
      </c>
      <c r="E677">
        <v>137.4</v>
      </c>
      <c r="F677" s="8">
        <f t="shared" si="30"/>
        <v>3.1113537117903931</v>
      </c>
      <c r="G677">
        <v>4.4000000000000004</v>
      </c>
      <c r="H677">
        <v>3</v>
      </c>
      <c r="I677">
        <v>56.1</v>
      </c>
      <c r="J677">
        <v>99.8</v>
      </c>
      <c r="K677" t="str">
        <f>IF(COUNTIFS($A$2:A677, A677, $C$2:C677, C677)&gt;1, "Duplicate", "Unique")</f>
        <v>Unique</v>
      </c>
      <c r="L677" t="str">
        <f t="shared" si="31"/>
        <v>Normal</v>
      </c>
      <c r="M677" t="str">
        <f t="shared" si="32"/>
        <v>Normal</v>
      </c>
      <c r="N677" s="55"/>
    </row>
    <row r="678" spans="1:14" x14ac:dyDescent="0.3">
      <c r="A678" t="s">
        <v>13</v>
      </c>
      <c r="B678" t="s">
        <v>14</v>
      </c>
      <c r="C678" s="2">
        <v>46071</v>
      </c>
      <c r="D678">
        <v>433</v>
      </c>
      <c r="E678">
        <v>96.4</v>
      </c>
      <c r="F678" s="8">
        <f t="shared" si="30"/>
        <v>4.491701244813278</v>
      </c>
      <c r="G678">
        <v>4</v>
      </c>
      <c r="H678">
        <v>8</v>
      </c>
      <c r="I678">
        <v>69.3</v>
      </c>
      <c r="J678">
        <v>85.5</v>
      </c>
      <c r="K678" t="str">
        <f>IF(COUNTIFS($A$2:A678, A678, $C$2:C678, C678)&gt;1, "Duplicate", "Unique")</f>
        <v>Unique</v>
      </c>
      <c r="L678" t="str">
        <f t="shared" si="31"/>
        <v>Normal</v>
      </c>
      <c r="M678" t="str">
        <f t="shared" si="32"/>
        <v>Normal</v>
      </c>
      <c r="N678" s="55"/>
    </row>
    <row r="679" spans="1:14" x14ac:dyDescent="0.3">
      <c r="A679" t="s">
        <v>13</v>
      </c>
      <c r="B679" t="s">
        <v>14</v>
      </c>
      <c r="C679" s="2">
        <v>46064</v>
      </c>
      <c r="D679">
        <v>418.6</v>
      </c>
      <c r="E679">
        <v>123.2</v>
      </c>
      <c r="F679" s="8">
        <f t="shared" si="30"/>
        <v>3.3977272727272729</v>
      </c>
      <c r="G679">
        <v>0.5</v>
      </c>
      <c r="H679">
        <v>8</v>
      </c>
      <c r="I679">
        <v>70.900000000000006</v>
      </c>
      <c r="J679">
        <v>89.5</v>
      </c>
      <c r="K679" t="str">
        <f>IF(COUNTIFS($A$2:A679, A679, $C$2:C679, C679)&gt;1, "Duplicate", "Unique")</f>
        <v>Unique</v>
      </c>
      <c r="L679" t="str">
        <f t="shared" si="31"/>
        <v>Normal</v>
      </c>
      <c r="M679" t="str">
        <f t="shared" si="32"/>
        <v>Normal</v>
      </c>
      <c r="N679" s="55"/>
    </row>
    <row r="680" spans="1:14" x14ac:dyDescent="0.3">
      <c r="A680" t="s">
        <v>13</v>
      </c>
      <c r="B680" t="s">
        <v>14</v>
      </c>
      <c r="C680" s="2">
        <v>46040</v>
      </c>
      <c r="D680">
        <v>223.8</v>
      </c>
      <c r="E680">
        <v>58.9</v>
      </c>
      <c r="F680" s="8">
        <f t="shared" si="30"/>
        <v>3.7996604414261461</v>
      </c>
      <c r="G680">
        <v>4.3</v>
      </c>
      <c r="H680">
        <v>7</v>
      </c>
      <c r="I680">
        <v>56.4</v>
      </c>
      <c r="J680">
        <v>95.9</v>
      </c>
      <c r="K680" t="str">
        <f>IF(COUNTIFS($A$2:A680, A680, $C$2:C680, C680)&gt;1, "Duplicate", "Unique")</f>
        <v>Unique</v>
      </c>
      <c r="L680" t="str">
        <f t="shared" si="31"/>
        <v>Normal</v>
      </c>
      <c r="M680" t="str">
        <f t="shared" si="32"/>
        <v>Normal</v>
      </c>
      <c r="N680" s="55"/>
    </row>
    <row r="681" spans="1:14" x14ac:dyDescent="0.3">
      <c r="A681" t="s">
        <v>13</v>
      </c>
      <c r="B681" t="s">
        <v>14</v>
      </c>
      <c r="C681" s="2">
        <v>46050</v>
      </c>
      <c r="D681">
        <v>239.1</v>
      </c>
      <c r="E681">
        <v>46</v>
      </c>
      <c r="F681" s="8">
        <f t="shared" si="30"/>
        <v>5.197826086956522</v>
      </c>
      <c r="G681">
        <v>2</v>
      </c>
      <c r="H681">
        <v>8</v>
      </c>
      <c r="I681">
        <v>47.9</v>
      </c>
      <c r="J681">
        <v>95.9</v>
      </c>
      <c r="K681" t="str">
        <f>IF(COUNTIFS($A$2:A681, A681, $C$2:C681, C681)&gt;1, "Duplicate", "Unique")</f>
        <v>Unique</v>
      </c>
      <c r="L681" t="str">
        <f t="shared" si="31"/>
        <v>Normal</v>
      </c>
      <c r="M681" t="str">
        <f t="shared" si="32"/>
        <v>Normal</v>
      </c>
      <c r="N681" s="55"/>
    </row>
    <row r="682" spans="1:14" x14ac:dyDescent="0.3">
      <c r="A682" t="s">
        <v>13</v>
      </c>
      <c r="B682" t="s">
        <v>14</v>
      </c>
      <c r="C682" s="2">
        <v>46058</v>
      </c>
      <c r="D682">
        <v>126.3</v>
      </c>
      <c r="E682">
        <v>34.9</v>
      </c>
      <c r="F682" s="8">
        <f t="shared" si="30"/>
        <v>3.6189111747851004</v>
      </c>
      <c r="G682">
        <v>2.5</v>
      </c>
      <c r="H682">
        <v>3</v>
      </c>
      <c r="I682">
        <v>56.6</v>
      </c>
      <c r="J682">
        <v>93.7</v>
      </c>
      <c r="K682" t="str">
        <f>IF(COUNTIFS($A$2:A682, A682, $C$2:C682, C682)&gt;1, "Duplicate", "Unique")</f>
        <v>Unique</v>
      </c>
      <c r="L682" t="str">
        <f t="shared" si="31"/>
        <v>Normal</v>
      </c>
      <c r="M682" t="str">
        <f t="shared" si="32"/>
        <v>Normal</v>
      </c>
      <c r="N682" s="55"/>
    </row>
    <row r="683" spans="1:14" x14ac:dyDescent="0.3">
      <c r="A683" t="s">
        <v>13</v>
      </c>
      <c r="B683" t="s">
        <v>14</v>
      </c>
      <c r="C683" s="2">
        <v>46060</v>
      </c>
      <c r="D683">
        <v>317.5</v>
      </c>
      <c r="E683">
        <v>87.8</v>
      </c>
      <c r="F683" s="8">
        <f t="shared" si="30"/>
        <v>3.6161731207289294</v>
      </c>
      <c r="G683">
        <v>1.3</v>
      </c>
      <c r="H683">
        <v>7</v>
      </c>
      <c r="I683">
        <v>43.4</v>
      </c>
      <c r="J683">
        <v>86.1</v>
      </c>
      <c r="K683" t="str">
        <f>IF(COUNTIFS($A$2:A683, A683, $C$2:C683, C683)&gt;1, "Duplicate", "Unique")</f>
        <v>Duplicate</v>
      </c>
      <c r="L683" t="str">
        <f t="shared" si="31"/>
        <v>Normal</v>
      </c>
      <c r="M683" t="str">
        <f t="shared" si="32"/>
        <v>Normal</v>
      </c>
      <c r="N683" s="55"/>
    </row>
    <row r="684" spans="1:14" x14ac:dyDescent="0.3">
      <c r="A684" t="s">
        <v>13</v>
      </c>
      <c r="B684" t="s">
        <v>14</v>
      </c>
      <c r="C684" s="2">
        <v>46064</v>
      </c>
      <c r="D684">
        <v>449.3</v>
      </c>
      <c r="E684">
        <v>109.8</v>
      </c>
      <c r="F684" s="8">
        <f t="shared" si="30"/>
        <v>4.091985428051002</v>
      </c>
      <c r="G684">
        <v>1.8</v>
      </c>
      <c r="H684">
        <v>3</v>
      </c>
      <c r="I684">
        <v>50.7</v>
      </c>
      <c r="J684">
        <v>93</v>
      </c>
      <c r="K684" t="str">
        <f>IF(COUNTIFS($A$2:A684, A684, $C$2:C684, C684)&gt;1, "Duplicate", "Unique")</f>
        <v>Duplicate</v>
      </c>
      <c r="L684" t="str">
        <f t="shared" si="31"/>
        <v>Normal</v>
      </c>
      <c r="M684" t="str">
        <f t="shared" si="32"/>
        <v>Normal</v>
      </c>
      <c r="N684" s="55"/>
    </row>
    <row r="685" spans="1:14" x14ac:dyDescent="0.3">
      <c r="A685" t="s">
        <v>13</v>
      </c>
      <c r="B685" t="s">
        <v>14</v>
      </c>
      <c r="C685" s="2">
        <v>46068</v>
      </c>
      <c r="D685">
        <v>330.1</v>
      </c>
      <c r="E685">
        <v>64.2</v>
      </c>
      <c r="F685" s="8">
        <f t="shared" si="30"/>
        <v>5.1417445482866047</v>
      </c>
      <c r="G685">
        <v>3.1</v>
      </c>
      <c r="H685">
        <v>5</v>
      </c>
      <c r="I685">
        <v>57.5</v>
      </c>
      <c r="J685">
        <v>87.9</v>
      </c>
      <c r="K685" t="str">
        <f>IF(COUNTIFS($A$2:A685, A685, $C$2:C685, C685)&gt;1, "Duplicate", "Unique")</f>
        <v>Unique</v>
      </c>
      <c r="L685" t="str">
        <f t="shared" si="31"/>
        <v>Normal</v>
      </c>
      <c r="M685" t="str">
        <f t="shared" si="32"/>
        <v>Normal</v>
      </c>
      <c r="N685" s="55"/>
    </row>
    <row r="686" spans="1:14" x14ac:dyDescent="0.3">
      <c r="A686" t="s">
        <v>13</v>
      </c>
      <c r="B686" t="s">
        <v>14</v>
      </c>
      <c r="C686" s="2">
        <v>46071</v>
      </c>
      <c r="D686">
        <v>411.4</v>
      </c>
      <c r="E686">
        <v>106.4</v>
      </c>
      <c r="F686" s="8">
        <f t="shared" si="30"/>
        <v>3.8665413533834583</v>
      </c>
      <c r="G686">
        <v>1.7</v>
      </c>
      <c r="H686">
        <v>3</v>
      </c>
      <c r="I686">
        <v>43.1</v>
      </c>
      <c r="J686">
        <v>89.3</v>
      </c>
      <c r="K686" t="str">
        <f>IF(COUNTIFS($A$2:A686, A686, $C$2:C686, C686)&gt;1, "Duplicate", "Unique")</f>
        <v>Duplicate</v>
      </c>
      <c r="L686" t="str">
        <f t="shared" si="31"/>
        <v>Normal</v>
      </c>
      <c r="M686" t="str">
        <f t="shared" si="32"/>
        <v>Normal</v>
      </c>
      <c r="N686" s="55"/>
    </row>
    <row r="687" spans="1:14" x14ac:dyDescent="0.3">
      <c r="A687" t="s">
        <v>13</v>
      </c>
      <c r="B687" t="s">
        <v>14</v>
      </c>
      <c r="C687" s="2">
        <v>46112</v>
      </c>
      <c r="D687">
        <v>180.5</v>
      </c>
      <c r="E687">
        <v>58.3</v>
      </c>
      <c r="F687" s="8">
        <f t="shared" si="30"/>
        <v>3.096054888507719</v>
      </c>
      <c r="G687">
        <v>3.4</v>
      </c>
      <c r="H687">
        <v>4</v>
      </c>
      <c r="I687">
        <v>40.9</v>
      </c>
      <c r="J687">
        <v>95</v>
      </c>
      <c r="K687" t="str">
        <f>IF(COUNTIFS($A$2:A687, A687, $C$2:C687, C687)&gt;1, "Duplicate", "Unique")</f>
        <v>Unique</v>
      </c>
      <c r="L687" t="str">
        <f t="shared" si="31"/>
        <v>Normal</v>
      </c>
      <c r="M687" t="str">
        <f t="shared" si="32"/>
        <v>Normal</v>
      </c>
      <c r="N687" s="55"/>
    </row>
    <row r="688" spans="1:14" x14ac:dyDescent="0.3">
      <c r="A688" t="s">
        <v>13</v>
      </c>
      <c r="B688" t="s">
        <v>14</v>
      </c>
      <c r="C688" s="2">
        <v>46108</v>
      </c>
      <c r="D688">
        <v>385.5</v>
      </c>
      <c r="E688">
        <v>79.400000000000006</v>
      </c>
      <c r="F688" s="8">
        <f t="shared" si="30"/>
        <v>4.8551637279596971</v>
      </c>
      <c r="G688">
        <v>3.1</v>
      </c>
      <c r="H688">
        <v>2</v>
      </c>
      <c r="I688">
        <v>53.6</v>
      </c>
      <c r="J688">
        <v>92.9</v>
      </c>
      <c r="K688" t="str">
        <f>IF(COUNTIFS($A$2:A688, A688, $C$2:C688, C688)&gt;1, "Duplicate", "Unique")</f>
        <v>Unique</v>
      </c>
      <c r="L688" t="str">
        <f t="shared" si="31"/>
        <v>Normal</v>
      </c>
      <c r="M688" t="str">
        <f t="shared" si="32"/>
        <v>Normal</v>
      </c>
      <c r="N688" s="55"/>
    </row>
    <row r="689" spans="1:14" x14ac:dyDescent="0.3">
      <c r="A689" t="s">
        <v>13</v>
      </c>
      <c r="B689" t="s">
        <v>14</v>
      </c>
      <c r="C689" s="2">
        <v>46106</v>
      </c>
      <c r="D689">
        <v>212.9</v>
      </c>
      <c r="E689">
        <v>60.7</v>
      </c>
      <c r="F689" s="8">
        <f t="shared" si="30"/>
        <v>3.5074135090609553</v>
      </c>
      <c r="G689">
        <v>2.4</v>
      </c>
      <c r="H689">
        <v>8</v>
      </c>
      <c r="I689">
        <v>51</v>
      </c>
      <c r="J689">
        <v>97</v>
      </c>
      <c r="K689" t="str">
        <f>IF(COUNTIFS($A$2:A689, A689, $C$2:C689, C689)&gt;1, "Duplicate", "Unique")</f>
        <v>Unique</v>
      </c>
      <c r="L689" t="str">
        <f t="shared" si="31"/>
        <v>Normal</v>
      </c>
      <c r="M689" t="str">
        <f t="shared" si="32"/>
        <v>Normal</v>
      </c>
      <c r="N689" s="55"/>
    </row>
    <row r="690" spans="1:14" x14ac:dyDescent="0.3">
      <c r="A690" t="s">
        <v>13</v>
      </c>
      <c r="B690" t="s">
        <v>14</v>
      </c>
      <c r="C690" s="2">
        <v>46097</v>
      </c>
      <c r="D690">
        <v>294.3</v>
      </c>
      <c r="E690">
        <v>74.900000000000006</v>
      </c>
      <c r="F690" s="8">
        <f t="shared" si="30"/>
        <v>3.9292389853137517</v>
      </c>
      <c r="G690">
        <v>0.9</v>
      </c>
      <c r="H690">
        <v>6</v>
      </c>
      <c r="I690">
        <v>40.4</v>
      </c>
      <c r="J690">
        <v>93.5</v>
      </c>
      <c r="K690" t="str">
        <f>IF(COUNTIFS($A$2:A690, A690, $C$2:C690, C690)&gt;1, "Duplicate", "Unique")</f>
        <v>Unique</v>
      </c>
      <c r="L690" t="str">
        <f t="shared" si="31"/>
        <v>Normal</v>
      </c>
      <c r="M690" t="str">
        <f t="shared" si="32"/>
        <v>Normal</v>
      </c>
      <c r="N690" s="55"/>
    </row>
    <row r="691" spans="1:14" x14ac:dyDescent="0.3">
      <c r="A691" t="s">
        <v>13</v>
      </c>
      <c r="B691" t="s">
        <v>14</v>
      </c>
      <c r="C691" s="2">
        <v>46034</v>
      </c>
      <c r="D691">
        <v>300.89999999999998</v>
      </c>
      <c r="E691">
        <v>61.2</v>
      </c>
      <c r="F691" s="8">
        <f t="shared" si="30"/>
        <v>4.9166666666666661</v>
      </c>
      <c r="G691">
        <v>3.9</v>
      </c>
      <c r="H691">
        <v>1</v>
      </c>
      <c r="I691">
        <v>43.1</v>
      </c>
      <c r="J691">
        <v>90.8</v>
      </c>
      <c r="K691" t="str">
        <f>IF(COUNTIFS($A$2:A691, A691, $C$2:C691, C691)&gt;1, "Duplicate", "Unique")</f>
        <v>Unique</v>
      </c>
      <c r="L691" t="str">
        <f t="shared" si="31"/>
        <v>Normal</v>
      </c>
      <c r="M691" t="str">
        <f t="shared" si="32"/>
        <v>Normal</v>
      </c>
      <c r="N691" s="55"/>
    </row>
    <row r="692" spans="1:14" x14ac:dyDescent="0.3">
      <c r="A692" t="s">
        <v>13</v>
      </c>
      <c r="B692" t="s">
        <v>14</v>
      </c>
      <c r="C692" s="2">
        <v>46046</v>
      </c>
      <c r="D692">
        <v>215.3</v>
      </c>
      <c r="E692">
        <v>64.599999999999994</v>
      </c>
      <c r="F692" s="8">
        <f t="shared" si="30"/>
        <v>3.3328173374613006</v>
      </c>
      <c r="G692">
        <v>0.7</v>
      </c>
      <c r="H692">
        <v>8</v>
      </c>
      <c r="I692">
        <v>53.7</v>
      </c>
      <c r="J692">
        <v>94.6</v>
      </c>
      <c r="K692" t="str">
        <f>IF(COUNTIFS($A$2:A692, A692, $C$2:C692, C692)&gt;1, "Duplicate", "Unique")</f>
        <v>Unique</v>
      </c>
      <c r="L692" t="str">
        <f t="shared" si="31"/>
        <v>Normal</v>
      </c>
      <c r="M692" t="str">
        <f t="shared" si="32"/>
        <v>Normal</v>
      </c>
      <c r="N692" s="55"/>
    </row>
    <row r="693" spans="1:14" x14ac:dyDescent="0.3">
      <c r="A693" t="s">
        <v>13</v>
      </c>
      <c r="B693" t="s">
        <v>14</v>
      </c>
      <c r="C693" s="2">
        <v>46059</v>
      </c>
      <c r="D693">
        <v>142.19999999999999</v>
      </c>
      <c r="E693">
        <v>35.200000000000003</v>
      </c>
      <c r="F693" s="8">
        <f t="shared" si="30"/>
        <v>4.0397727272727266</v>
      </c>
      <c r="G693">
        <v>3.4</v>
      </c>
      <c r="H693">
        <v>8</v>
      </c>
      <c r="I693">
        <v>54.7</v>
      </c>
      <c r="J693">
        <v>86.7</v>
      </c>
      <c r="K693" t="str">
        <f>IF(COUNTIFS($A$2:A693, A693, $C$2:C693, C693)&gt;1, "Duplicate", "Unique")</f>
        <v>Unique</v>
      </c>
      <c r="L693" t="str">
        <f t="shared" si="31"/>
        <v>Normal</v>
      </c>
      <c r="M693" t="str">
        <f t="shared" si="32"/>
        <v>Normal</v>
      </c>
      <c r="N693" s="55"/>
    </row>
    <row r="694" spans="1:14" x14ac:dyDescent="0.3">
      <c r="A694" t="s">
        <v>13</v>
      </c>
      <c r="B694" t="s">
        <v>14</v>
      </c>
      <c r="C694" s="2">
        <v>46091</v>
      </c>
      <c r="D694">
        <v>307.89999999999998</v>
      </c>
      <c r="E694">
        <v>86.8</v>
      </c>
      <c r="F694" s="8">
        <f t="shared" si="30"/>
        <v>3.5472350230414746</v>
      </c>
      <c r="G694">
        <v>1.5</v>
      </c>
      <c r="H694">
        <v>4</v>
      </c>
      <c r="I694">
        <v>73.8</v>
      </c>
      <c r="J694">
        <v>87.3</v>
      </c>
      <c r="K694" t="str">
        <f>IF(COUNTIFS($A$2:A694, A694, $C$2:C694, C694)&gt;1, "Duplicate", "Unique")</f>
        <v>Duplicate</v>
      </c>
      <c r="L694" t="str">
        <f t="shared" si="31"/>
        <v>Normal</v>
      </c>
      <c r="M694" t="str">
        <f t="shared" si="32"/>
        <v>Normal</v>
      </c>
      <c r="N694" s="55"/>
    </row>
    <row r="695" spans="1:14" x14ac:dyDescent="0.3">
      <c r="A695" t="s">
        <v>13</v>
      </c>
      <c r="B695" t="s">
        <v>14</v>
      </c>
      <c r="C695" s="2">
        <v>46084</v>
      </c>
      <c r="D695">
        <v>102.6</v>
      </c>
      <c r="E695">
        <v>28.9</v>
      </c>
      <c r="F695" s="8">
        <f t="shared" si="30"/>
        <v>3.5501730103806226</v>
      </c>
      <c r="G695">
        <v>0.8</v>
      </c>
      <c r="H695">
        <v>4</v>
      </c>
      <c r="I695">
        <v>58.9</v>
      </c>
      <c r="J695">
        <v>97</v>
      </c>
      <c r="K695" t="str">
        <f>IF(COUNTIFS($A$2:A695, A695, $C$2:C695, C695)&gt;1, "Duplicate", "Unique")</f>
        <v>Unique</v>
      </c>
      <c r="L695" t="str">
        <f t="shared" si="31"/>
        <v>Normal</v>
      </c>
      <c r="M695" t="str">
        <f t="shared" si="32"/>
        <v>Normal</v>
      </c>
      <c r="N695" s="55"/>
    </row>
    <row r="696" spans="1:14" x14ac:dyDescent="0.3">
      <c r="A696" t="s">
        <v>13</v>
      </c>
      <c r="B696" t="s">
        <v>14</v>
      </c>
      <c r="C696" s="2">
        <v>46085</v>
      </c>
      <c r="D696">
        <v>207.3</v>
      </c>
      <c r="E696">
        <v>47.9</v>
      </c>
      <c r="F696" s="8">
        <f t="shared" si="30"/>
        <v>4.3277661795407099</v>
      </c>
      <c r="G696">
        <v>1.6</v>
      </c>
      <c r="H696">
        <v>5</v>
      </c>
      <c r="I696">
        <v>38.1</v>
      </c>
      <c r="J696">
        <v>89.8</v>
      </c>
      <c r="K696" t="str">
        <f>IF(COUNTIFS($A$2:A696, A696, $C$2:C696, C696)&gt;1, "Duplicate", "Unique")</f>
        <v>Unique</v>
      </c>
      <c r="L696" t="str">
        <f t="shared" si="31"/>
        <v>Normal</v>
      </c>
      <c r="M696" t="str">
        <f t="shared" si="32"/>
        <v>Normal</v>
      </c>
      <c r="N696" s="55"/>
    </row>
    <row r="697" spans="1:14" x14ac:dyDescent="0.3">
      <c r="A697" t="s">
        <v>13</v>
      </c>
      <c r="B697" t="s">
        <v>14</v>
      </c>
      <c r="C697" s="2">
        <v>46056</v>
      </c>
      <c r="D697">
        <v>324.39999999999998</v>
      </c>
      <c r="E697">
        <v>90</v>
      </c>
      <c r="F697" s="8">
        <f t="shared" si="30"/>
        <v>3.6044444444444443</v>
      </c>
      <c r="G697">
        <v>0.6</v>
      </c>
      <c r="H697">
        <v>7</v>
      </c>
      <c r="I697">
        <v>55.7</v>
      </c>
      <c r="J697">
        <v>97.6</v>
      </c>
      <c r="K697" t="str">
        <f>IF(COUNTIFS($A$2:A697, A697, $C$2:C697, C697)&gt;1, "Duplicate", "Unique")</f>
        <v>Unique</v>
      </c>
      <c r="L697" t="str">
        <f t="shared" si="31"/>
        <v>Normal</v>
      </c>
      <c r="M697" t="str">
        <f t="shared" si="32"/>
        <v>Normal</v>
      </c>
      <c r="N697" s="55"/>
    </row>
    <row r="698" spans="1:14" x14ac:dyDescent="0.3">
      <c r="A698" t="s">
        <v>13</v>
      </c>
      <c r="B698" t="s">
        <v>14</v>
      </c>
      <c r="C698" s="2">
        <v>46064</v>
      </c>
      <c r="D698">
        <v>397</v>
      </c>
      <c r="E698">
        <v>94.5</v>
      </c>
      <c r="F698" s="8">
        <f t="shared" si="30"/>
        <v>4.2010582010582009</v>
      </c>
      <c r="G698">
        <v>4.0999999999999996</v>
      </c>
      <c r="H698">
        <v>1</v>
      </c>
      <c r="I698">
        <v>65.400000000000006</v>
      </c>
      <c r="J698">
        <v>94.3</v>
      </c>
      <c r="K698" t="str">
        <f>IF(COUNTIFS($A$2:A698, A698, $C$2:C698, C698)&gt;1, "Duplicate", "Unique")</f>
        <v>Duplicate</v>
      </c>
      <c r="L698" t="str">
        <f t="shared" si="31"/>
        <v>Normal</v>
      </c>
      <c r="M698" t="str">
        <f t="shared" si="32"/>
        <v>Normal</v>
      </c>
      <c r="N698" s="55"/>
    </row>
    <row r="699" spans="1:14" x14ac:dyDescent="0.3">
      <c r="A699" t="s">
        <v>13</v>
      </c>
      <c r="B699" t="s">
        <v>14</v>
      </c>
      <c r="C699" s="2">
        <v>46104</v>
      </c>
      <c r="D699">
        <v>370.4</v>
      </c>
      <c r="E699">
        <v>70.599999999999994</v>
      </c>
      <c r="F699" s="8">
        <f t="shared" si="30"/>
        <v>5.2464589235127477</v>
      </c>
      <c r="G699">
        <v>3.1</v>
      </c>
      <c r="H699">
        <v>5</v>
      </c>
      <c r="I699">
        <v>68</v>
      </c>
      <c r="J699">
        <v>97.6</v>
      </c>
      <c r="K699" t="str">
        <f>IF(COUNTIFS($A$2:A699, A699, $C$2:C699, C699)&gt;1, "Duplicate", "Unique")</f>
        <v>Unique</v>
      </c>
      <c r="L699" t="str">
        <f t="shared" si="31"/>
        <v>Normal</v>
      </c>
      <c r="M699" t="str">
        <f t="shared" si="32"/>
        <v>Normal</v>
      </c>
      <c r="N699" s="55"/>
    </row>
    <row r="700" spans="1:14" x14ac:dyDescent="0.3">
      <c r="A700" t="s">
        <v>13</v>
      </c>
      <c r="B700" t="s">
        <v>14</v>
      </c>
      <c r="C700" s="2">
        <v>46046</v>
      </c>
      <c r="D700">
        <v>188.7</v>
      </c>
      <c r="E700">
        <v>46.4</v>
      </c>
      <c r="F700" s="8">
        <f t="shared" si="30"/>
        <v>4.0668103448275863</v>
      </c>
      <c r="G700">
        <v>3.4</v>
      </c>
      <c r="H700">
        <v>3</v>
      </c>
      <c r="I700">
        <v>72.599999999999994</v>
      </c>
      <c r="J700">
        <v>98.5</v>
      </c>
      <c r="K700" t="str">
        <f>IF(COUNTIFS($A$2:A700, A700, $C$2:C700, C700)&gt;1, "Duplicate", "Unique")</f>
        <v>Duplicate</v>
      </c>
      <c r="L700" t="str">
        <f t="shared" si="31"/>
        <v>Normal</v>
      </c>
      <c r="M700" t="str">
        <f t="shared" si="32"/>
        <v>Normal</v>
      </c>
      <c r="N700" s="55"/>
    </row>
    <row r="701" spans="1:14" x14ac:dyDescent="0.3">
      <c r="A701" t="s">
        <v>13</v>
      </c>
      <c r="B701" t="s">
        <v>14</v>
      </c>
      <c r="C701" s="2">
        <v>46059</v>
      </c>
      <c r="D701">
        <v>404.7</v>
      </c>
      <c r="E701">
        <v>102.7</v>
      </c>
      <c r="F701" s="8">
        <f t="shared" si="30"/>
        <v>3.9406037000973706</v>
      </c>
      <c r="G701">
        <v>0.3</v>
      </c>
      <c r="H701">
        <v>2</v>
      </c>
      <c r="I701">
        <v>31.1</v>
      </c>
      <c r="J701">
        <v>87.2</v>
      </c>
      <c r="K701" t="str">
        <f>IF(COUNTIFS($A$2:A701, A701, $C$2:C701, C701)&gt;1, "Duplicate", "Unique")</f>
        <v>Duplicate</v>
      </c>
      <c r="L701" t="str">
        <f t="shared" si="31"/>
        <v>Normal</v>
      </c>
      <c r="M701" t="str">
        <f t="shared" si="32"/>
        <v>Normal</v>
      </c>
      <c r="N701" s="55"/>
    </row>
    <row r="702" spans="1:14" x14ac:dyDescent="0.3">
      <c r="A702" t="s">
        <v>13</v>
      </c>
      <c r="B702" t="s">
        <v>14</v>
      </c>
      <c r="C702" s="2">
        <v>46051</v>
      </c>
      <c r="D702">
        <v>354.7</v>
      </c>
      <c r="E702">
        <v>82.2</v>
      </c>
      <c r="F702" s="8">
        <f t="shared" si="30"/>
        <v>4.3150851581508514</v>
      </c>
      <c r="G702">
        <v>1.2</v>
      </c>
      <c r="H702">
        <v>5</v>
      </c>
      <c r="I702">
        <v>61.2</v>
      </c>
      <c r="J702">
        <v>85.7</v>
      </c>
      <c r="K702" t="str">
        <f>IF(COUNTIFS($A$2:A702, A702, $C$2:C702, C702)&gt;1, "Duplicate", "Unique")</f>
        <v>Unique</v>
      </c>
      <c r="L702" t="str">
        <f t="shared" si="31"/>
        <v>Normal</v>
      </c>
      <c r="M702" t="str">
        <f t="shared" si="32"/>
        <v>Normal</v>
      </c>
      <c r="N702" s="55"/>
    </row>
    <row r="703" spans="1:14" x14ac:dyDescent="0.3">
      <c r="A703" t="s">
        <v>13</v>
      </c>
      <c r="B703" t="s">
        <v>14</v>
      </c>
      <c r="C703" s="2">
        <v>46060</v>
      </c>
      <c r="D703">
        <v>435.2</v>
      </c>
      <c r="E703">
        <v>136.5</v>
      </c>
      <c r="F703" s="8">
        <f t="shared" si="30"/>
        <v>3.1882783882783881</v>
      </c>
      <c r="G703">
        <v>3.1</v>
      </c>
      <c r="H703">
        <v>6</v>
      </c>
      <c r="I703">
        <v>73.099999999999994</v>
      </c>
      <c r="J703">
        <v>85.2</v>
      </c>
      <c r="K703" t="str">
        <f>IF(COUNTIFS($A$2:A703, A703, $C$2:C703, C703)&gt;1, "Duplicate", "Unique")</f>
        <v>Duplicate</v>
      </c>
      <c r="L703" t="str">
        <f t="shared" si="31"/>
        <v>Normal</v>
      </c>
      <c r="M703" t="str">
        <f t="shared" si="32"/>
        <v>Normal</v>
      </c>
      <c r="N703" s="55"/>
    </row>
    <row r="704" spans="1:14" x14ac:dyDescent="0.3">
      <c r="A704" t="s">
        <v>13</v>
      </c>
      <c r="B704" t="s">
        <v>14</v>
      </c>
      <c r="C704" s="2">
        <v>46041</v>
      </c>
      <c r="D704">
        <v>125.6</v>
      </c>
      <c r="E704">
        <v>44.6</v>
      </c>
      <c r="F704" s="8">
        <f t="shared" si="30"/>
        <v>2.8161434977578472</v>
      </c>
      <c r="G704">
        <v>2.8</v>
      </c>
      <c r="H704">
        <v>2</v>
      </c>
      <c r="I704">
        <v>43.7</v>
      </c>
      <c r="J704">
        <v>96.2</v>
      </c>
      <c r="K704" t="str">
        <f>IF(COUNTIFS($A$2:A704, A704, $C$2:C704, C704)&gt;1, "Duplicate", "Unique")</f>
        <v>Unique</v>
      </c>
      <c r="L704" t="str">
        <f t="shared" si="31"/>
        <v>Normal</v>
      </c>
      <c r="M704" t="str">
        <f t="shared" si="32"/>
        <v>Suspiciously Low Efficiency</v>
      </c>
      <c r="N704" s="55"/>
    </row>
    <row r="705" spans="1:14" x14ac:dyDescent="0.3">
      <c r="A705" t="s">
        <v>13</v>
      </c>
      <c r="B705" t="s">
        <v>14</v>
      </c>
      <c r="C705" s="2">
        <v>46082</v>
      </c>
      <c r="D705">
        <v>318.5</v>
      </c>
      <c r="E705">
        <v>106.3</v>
      </c>
      <c r="F705" s="8">
        <f t="shared" si="30"/>
        <v>2.9962370649106305</v>
      </c>
      <c r="G705">
        <v>3.1</v>
      </c>
      <c r="H705">
        <v>5</v>
      </c>
      <c r="I705">
        <v>34.4</v>
      </c>
      <c r="J705">
        <v>95.9</v>
      </c>
      <c r="K705" t="str">
        <f>IF(COUNTIFS($A$2:A705, A705, $C$2:C705, C705)&gt;1, "Duplicate", "Unique")</f>
        <v>Unique</v>
      </c>
      <c r="L705" t="str">
        <f t="shared" si="31"/>
        <v>Normal</v>
      </c>
      <c r="M705" t="str">
        <f t="shared" si="32"/>
        <v>Suspiciously Low Efficiency</v>
      </c>
      <c r="N705" s="55"/>
    </row>
    <row r="706" spans="1:14" x14ac:dyDescent="0.3">
      <c r="A706" t="s">
        <v>13</v>
      </c>
      <c r="B706" t="s">
        <v>14</v>
      </c>
      <c r="C706" s="2">
        <v>46092</v>
      </c>
      <c r="D706">
        <v>254.7</v>
      </c>
      <c r="E706">
        <v>52.1</v>
      </c>
      <c r="F706" s="8">
        <f t="shared" si="30"/>
        <v>4.8886756238003839</v>
      </c>
      <c r="G706">
        <v>1.8</v>
      </c>
      <c r="H706">
        <v>4</v>
      </c>
      <c r="I706">
        <v>70.099999999999994</v>
      </c>
      <c r="J706">
        <v>93.8</v>
      </c>
      <c r="K706" t="str">
        <f>IF(COUNTIFS($A$2:A706, A706, $C$2:C706, C706)&gt;1, "Duplicate", "Unique")</f>
        <v>Unique</v>
      </c>
      <c r="L706" t="str">
        <f t="shared" si="31"/>
        <v>Normal</v>
      </c>
      <c r="M706" t="str">
        <f t="shared" si="32"/>
        <v>Normal</v>
      </c>
      <c r="N706" s="55"/>
    </row>
    <row r="707" spans="1:14" x14ac:dyDescent="0.3">
      <c r="A707" t="s">
        <v>13</v>
      </c>
      <c r="B707" t="s">
        <v>14</v>
      </c>
      <c r="C707" s="2">
        <v>46095</v>
      </c>
      <c r="D707">
        <v>144.30000000000001</v>
      </c>
      <c r="E707">
        <v>31.6</v>
      </c>
      <c r="F707" s="8">
        <f t="shared" ref="F707:F770" si="33">IFERROR(D707/E707,0)</f>
        <v>4.5664556962025316</v>
      </c>
      <c r="G707">
        <v>1.8</v>
      </c>
      <c r="H707">
        <v>2</v>
      </c>
      <c r="I707">
        <v>53.2</v>
      </c>
      <c r="J707">
        <v>90.6</v>
      </c>
      <c r="K707" t="str">
        <f>IF(COUNTIFS($A$2:A707, A707, $C$2:C707, C707)&gt;1, "Duplicate", "Unique")</f>
        <v>Unique</v>
      </c>
      <c r="L707" t="str">
        <f t="shared" ref="L707:L770" si="34">IF(G707 &gt; (AVERAGE($G$2:$G$811) + (3 * _xlfn.STDEV.P($G$2:$G$811))), "Extreme Idle Outlier", "Normal")</f>
        <v>Normal</v>
      </c>
      <c r="M707" t="str">
        <f t="shared" ref="M707:M770" si="35">IFERROR(IF((D707 / E707) &lt; 3, "Suspiciously Low Efficiency", "Normal"),0)</f>
        <v>Normal</v>
      </c>
      <c r="N707" s="55"/>
    </row>
    <row r="708" spans="1:14" x14ac:dyDescent="0.3">
      <c r="A708" t="s">
        <v>13</v>
      </c>
      <c r="B708" t="s">
        <v>14</v>
      </c>
      <c r="C708" s="2">
        <v>46077</v>
      </c>
      <c r="D708">
        <v>288.89999999999998</v>
      </c>
      <c r="E708">
        <v>64.900000000000006</v>
      </c>
      <c r="F708" s="8">
        <f t="shared" si="33"/>
        <v>4.4514637904468408</v>
      </c>
      <c r="G708">
        <v>4.5</v>
      </c>
      <c r="H708">
        <v>7</v>
      </c>
      <c r="I708">
        <v>64</v>
      </c>
      <c r="K708" t="str">
        <f>IF(COUNTIFS($A$2:A708, A708, $C$2:C708, C708)&gt;1, "Duplicate", "Unique")</f>
        <v>Unique</v>
      </c>
      <c r="L708" t="str">
        <f t="shared" si="34"/>
        <v>Normal</v>
      </c>
      <c r="M708" t="str">
        <f t="shared" si="35"/>
        <v>Normal</v>
      </c>
      <c r="N708" s="55"/>
    </row>
    <row r="709" spans="1:14" x14ac:dyDescent="0.3">
      <c r="A709" t="s">
        <v>13</v>
      </c>
      <c r="B709" t="s">
        <v>14</v>
      </c>
      <c r="C709" s="2">
        <v>46084</v>
      </c>
      <c r="D709">
        <v>146.1</v>
      </c>
      <c r="E709">
        <v>33.9</v>
      </c>
      <c r="F709" s="8">
        <f t="shared" si="33"/>
        <v>4.3097345132743365</v>
      </c>
      <c r="G709">
        <v>2.2999999999999998</v>
      </c>
      <c r="H709">
        <v>5</v>
      </c>
      <c r="I709">
        <v>56</v>
      </c>
      <c r="J709">
        <v>96.6</v>
      </c>
      <c r="K709" t="str">
        <f>IF(COUNTIFS($A$2:A709, A709, $C$2:C709, C709)&gt;1, "Duplicate", "Unique")</f>
        <v>Duplicate</v>
      </c>
      <c r="L709" t="str">
        <f t="shared" si="34"/>
        <v>Normal</v>
      </c>
      <c r="M709" t="str">
        <f t="shared" si="35"/>
        <v>Normal</v>
      </c>
      <c r="N709" s="55"/>
    </row>
    <row r="710" spans="1:14" x14ac:dyDescent="0.3">
      <c r="A710" t="s">
        <v>13</v>
      </c>
      <c r="B710" t="s">
        <v>14</v>
      </c>
      <c r="C710" s="2">
        <v>46056</v>
      </c>
      <c r="D710">
        <v>167.7</v>
      </c>
      <c r="E710">
        <v>41.2</v>
      </c>
      <c r="F710" s="8">
        <f t="shared" si="33"/>
        <v>4.0703883495145625</v>
      </c>
      <c r="G710">
        <v>2.8</v>
      </c>
      <c r="H710">
        <v>6</v>
      </c>
      <c r="I710">
        <v>38.299999999999997</v>
      </c>
      <c r="J710">
        <v>91.4</v>
      </c>
      <c r="K710" t="str">
        <f>IF(COUNTIFS($A$2:A710, A710, $C$2:C710, C710)&gt;1, "Duplicate", "Unique")</f>
        <v>Duplicate</v>
      </c>
      <c r="L710" t="str">
        <f t="shared" si="34"/>
        <v>Normal</v>
      </c>
      <c r="M710" t="str">
        <f t="shared" si="35"/>
        <v>Normal</v>
      </c>
      <c r="N710" s="55"/>
    </row>
    <row r="711" spans="1:14" x14ac:dyDescent="0.3">
      <c r="A711" t="s">
        <v>13</v>
      </c>
      <c r="B711" t="s">
        <v>14</v>
      </c>
      <c r="C711" s="2">
        <v>46029</v>
      </c>
      <c r="D711">
        <v>89.8</v>
      </c>
      <c r="E711">
        <v>23.2</v>
      </c>
      <c r="F711" s="8">
        <f t="shared" si="33"/>
        <v>3.8706896551724137</v>
      </c>
      <c r="G711">
        <v>3.5</v>
      </c>
      <c r="H711">
        <v>2</v>
      </c>
      <c r="I711">
        <v>34.700000000000003</v>
      </c>
      <c r="J711">
        <v>94.3</v>
      </c>
      <c r="K711" t="str">
        <f>IF(COUNTIFS($A$2:A711, A711, $C$2:C711, C711)&gt;1, "Duplicate", "Unique")</f>
        <v>Unique</v>
      </c>
      <c r="L711" t="str">
        <f t="shared" si="34"/>
        <v>Normal</v>
      </c>
      <c r="M711" t="str">
        <f t="shared" si="35"/>
        <v>Normal</v>
      </c>
      <c r="N711" s="55"/>
    </row>
    <row r="712" spans="1:14" x14ac:dyDescent="0.3">
      <c r="A712" t="s">
        <v>13</v>
      </c>
      <c r="B712" t="s">
        <v>14</v>
      </c>
      <c r="C712" s="2">
        <v>46057</v>
      </c>
      <c r="D712">
        <v>283</v>
      </c>
      <c r="E712">
        <v>89.4</v>
      </c>
      <c r="F712" s="8">
        <f t="shared" si="33"/>
        <v>3.1655480984340043</v>
      </c>
      <c r="G712">
        <v>4.3</v>
      </c>
      <c r="H712">
        <v>3</v>
      </c>
      <c r="I712">
        <v>56.6</v>
      </c>
      <c r="J712">
        <v>91.8</v>
      </c>
      <c r="K712" t="str">
        <f>IF(COUNTIFS($A$2:A712, A712, $C$2:C712, C712)&gt;1, "Duplicate", "Unique")</f>
        <v>Unique</v>
      </c>
      <c r="L712" t="str">
        <f t="shared" si="34"/>
        <v>Normal</v>
      </c>
      <c r="M712" t="str">
        <f t="shared" si="35"/>
        <v>Normal</v>
      </c>
      <c r="N712" s="55"/>
    </row>
    <row r="713" spans="1:14" x14ac:dyDescent="0.3">
      <c r="A713" t="s">
        <v>13</v>
      </c>
      <c r="B713" t="s">
        <v>14</v>
      </c>
      <c r="C713" s="2">
        <v>46105</v>
      </c>
      <c r="D713">
        <v>360</v>
      </c>
      <c r="E713">
        <v>72.400000000000006</v>
      </c>
      <c r="F713" s="8">
        <f t="shared" si="33"/>
        <v>4.9723756906077341</v>
      </c>
      <c r="G713">
        <v>2.1</v>
      </c>
      <c r="H713">
        <v>4</v>
      </c>
      <c r="I713">
        <v>31</v>
      </c>
      <c r="J713">
        <v>90.7</v>
      </c>
      <c r="K713" t="str">
        <f>IF(COUNTIFS($A$2:A713, A713, $C$2:C713, C713)&gt;1, "Duplicate", "Unique")</f>
        <v>Unique</v>
      </c>
      <c r="L713" t="str">
        <f t="shared" si="34"/>
        <v>Normal</v>
      </c>
      <c r="M713" t="str">
        <f t="shared" si="35"/>
        <v>Normal</v>
      </c>
      <c r="N713" s="55"/>
    </row>
    <row r="714" spans="1:14" x14ac:dyDescent="0.3">
      <c r="A714" t="s">
        <v>13</v>
      </c>
      <c r="B714" t="s">
        <v>14</v>
      </c>
      <c r="C714" s="2">
        <v>46042</v>
      </c>
      <c r="D714">
        <v>306.8</v>
      </c>
      <c r="E714">
        <v>83.6</v>
      </c>
      <c r="F714" s="8">
        <f t="shared" si="33"/>
        <v>3.6698564593301439</v>
      </c>
      <c r="G714">
        <v>3</v>
      </c>
      <c r="H714">
        <v>2</v>
      </c>
      <c r="I714">
        <v>34.299999999999997</v>
      </c>
      <c r="J714">
        <v>94.9</v>
      </c>
      <c r="K714" t="str">
        <f>IF(COUNTIFS($A$2:A714, A714, $C$2:C714, C714)&gt;1, "Duplicate", "Unique")</f>
        <v>Unique</v>
      </c>
      <c r="L714" t="str">
        <f t="shared" si="34"/>
        <v>Normal</v>
      </c>
      <c r="M714" t="str">
        <f t="shared" si="35"/>
        <v>Normal</v>
      </c>
      <c r="N714" s="55"/>
    </row>
    <row r="715" spans="1:14" x14ac:dyDescent="0.3">
      <c r="A715" t="s">
        <v>13</v>
      </c>
      <c r="B715" t="s">
        <v>14</v>
      </c>
      <c r="C715" s="2">
        <v>46064</v>
      </c>
      <c r="D715">
        <v>392.6</v>
      </c>
      <c r="E715">
        <v>100.3</v>
      </c>
      <c r="F715" s="8">
        <f t="shared" si="33"/>
        <v>3.914257228315055</v>
      </c>
      <c r="G715">
        <v>2.9</v>
      </c>
      <c r="H715">
        <v>6</v>
      </c>
      <c r="I715">
        <v>57.4</v>
      </c>
      <c r="J715">
        <v>93.4</v>
      </c>
      <c r="K715" t="str">
        <f>IF(COUNTIFS($A$2:A715, A715, $C$2:C715, C715)&gt;1, "Duplicate", "Unique")</f>
        <v>Duplicate</v>
      </c>
      <c r="L715" t="str">
        <f t="shared" si="34"/>
        <v>Normal</v>
      </c>
      <c r="M715" t="str">
        <f t="shared" si="35"/>
        <v>Normal</v>
      </c>
      <c r="N715" s="55"/>
    </row>
    <row r="716" spans="1:14" x14ac:dyDescent="0.3">
      <c r="A716" t="s">
        <v>13</v>
      </c>
      <c r="B716" t="s">
        <v>14</v>
      </c>
      <c r="C716" s="2">
        <v>46101</v>
      </c>
      <c r="D716">
        <v>448.9</v>
      </c>
      <c r="E716">
        <v>106.5</v>
      </c>
      <c r="F716" s="8">
        <f t="shared" si="33"/>
        <v>4.2150234741784036</v>
      </c>
      <c r="G716">
        <v>1.2</v>
      </c>
      <c r="H716">
        <v>5</v>
      </c>
      <c r="I716">
        <v>65</v>
      </c>
      <c r="J716">
        <v>89.9</v>
      </c>
      <c r="K716" t="str">
        <f>IF(COUNTIFS($A$2:A716, A716, $C$2:C716, C716)&gt;1, "Duplicate", "Unique")</f>
        <v>Unique</v>
      </c>
      <c r="L716" t="str">
        <f t="shared" si="34"/>
        <v>Normal</v>
      </c>
      <c r="M716" t="str">
        <f t="shared" si="35"/>
        <v>Normal</v>
      </c>
      <c r="N716" s="55"/>
    </row>
    <row r="717" spans="1:14" x14ac:dyDescent="0.3">
      <c r="A717" t="s">
        <v>13</v>
      </c>
      <c r="B717" t="s">
        <v>14</v>
      </c>
      <c r="C717" s="2">
        <v>46049</v>
      </c>
      <c r="D717">
        <v>98.1</v>
      </c>
      <c r="E717">
        <v>30.7</v>
      </c>
      <c r="F717" s="8">
        <f t="shared" si="33"/>
        <v>3.1954397394136809</v>
      </c>
      <c r="G717">
        <v>3</v>
      </c>
      <c r="H717">
        <v>1</v>
      </c>
      <c r="I717">
        <v>36.5</v>
      </c>
      <c r="J717">
        <v>85.5</v>
      </c>
      <c r="K717" t="str">
        <f>IF(COUNTIFS($A$2:A717, A717, $C$2:C717, C717)&gt;1, "Duplicate", "Unique")</f>
        <v>Unique</v>
      </c>
      <c r="L717" t="str">
        <f t="shared" si="34"/>
        <v>Normal</v>
      </c>
      <c r="M717" t="str">
        <f t="shared" si="35"/>
        <v>Normal</v>
      </c>
      <c r="N717" s="55"/>
    </row>
    <row r="718" spans="1:14" x14ac:dyDescent="0.3">
      <c r="A718" t="s">
        <v>13</v>
      </c>
      <c r="B718" t="s">
        <v>14</v>
      </c>
      <c r="C718" s="2">
        <v>46031</v>
      </c>
      <c r="D718">
        <v>188.3</v>
      </c>
      <c r="E718">
        <v>59.5</v>
      </c>
      <c r="F718" s="8">
        <f t="shared" si="33"/>
        <v>3.1647058823529415</v>
      </c>
      <c r="G718">
        <v>3.2</v>
      </c>
      <c r="H718">
        <v>5</v>
      </c>
      <c r="I718">
        <v>44.8</v>
      </c>
      <c r="J718">
        <v>91.2</v>
      </c>
      <c r="K718" t="str">
        <f>IF(COUNTIFS($A$2:A718, A718, $C$2:C718, C718)&gt;1, "Duplicate", "Unique")</f>
        <v>Unique</v>
      </c>
      <c r="L718" t="str">
        <f t="shared" si="34"/>
        <v>Normal</v>
      </c>
      <c r="M718" t="str">
        <f t="shared" si="35"/>
        <v>Normal</v>
      </c>
      <c r="N718" s="55"/>
    </row>
    <row r="719" spans="1:14" x14ac:dyDescent="0.3">
      <c r="A719" t="s">
        <v>13</v>
      </c>
      <c r="B719" t="s">
        <v>14</v>
      </c>
      <c r="C719" s="2">
        <v>46091</v>
      </c>
      <c r="D719">
        <v>86.9</v>
      </c>
      <c r="E719">
        <v>19.899999999999999</v>
      </c>
      <c r="F719" s="8">
        <f t="shared" si="33"/>
        <v>4.3668341708542719</v>
      </c>
      <c r="G719">
        <v>1.6</v>
      </c>
      <c r="H719">
        <v>6</v>
      </c>
      <c r="I719">
        <v>33</v>
      </c>
      <c r="J719">
        <v>87.2</v>
      </c>
      <c r="K719" t="str">
        <f>IF(COUNTIFS($A$2:A719, A719, $C$2:C719, C719)&gt;1, "Duplicate", "Unique")</f>
        <v>Duplicate</v>
      </c>
      <c r="L719" t="str">
        <f t="shared" si="34"/>
        <v>Normal</v>
      </c>
      <c r="M719" t="str">
        <f t="shared" si="35"/>
        <v>Normal</v>
      </c>
      <c r="N719" s="55"/>
    </row>
    <row r="720" spans="1:14" x14ac:dyDescent="0.3">
      <c r="A720" t="s">
        <v>13</v>
      </c>
      <c r="B720" t="s">
        <v>14</v>
      </c>
      <c r="C720" s="2">
        <v>46033</v>
      </c>
      <c r="D720">
        <v>440.3</v>
      </c>
      <c r="E720">
        <v>91</v>
      </c>
      <c r="F720" s="8">
        <f t="shared" si="33"/>
        <v>4.8384615384615381</v>
      </c>
      <c r="G720">
        <v>2.2000000000000002</v>
      </c>
      <c r="H720">
        <v>3</v>
      </c>
      <c r="I720">
        <v>34.200000000000003</v>
      </c>
      <c r="J720">
        <v>97</v>
      </c>
      <c r="K720" t="str">
        <f>IF(COUNTIFS($A$2:A720, A720, $C$2:C720, C720)&gt;1, "Duplicate", "Unique")</f>
        <v>Unique</v>
      </c>
      <c r="L720" t="str">
        <f t="shared" si="34"/>
        <v>Normal</v>
      </c>
      <c r="M720" t="str">
        <f t="shared" si="35"/>
        <v>Normal</v>
      </c>
      <c r="N720" s="55"/>
    </row>
    <row r="721" spans="1:14" x14ac:dyDescent="0.3">
      <c r="A721" t="s">
        <v>13</v>
      </c>
      <c r="B721" t="s">
        <v>14</v>
      </c>
      <c r="C721" s="2">
        <v>46029</v>
      </c>
      <c r="D721">
        <v>80.3</v>
      </c>
      <c r="E721">
        <v>18.600000000000001</v>
      </c>
      <c r="F721" s="8">
        <f t="shared" si="33"/>
        <v>4.3172043010752681</v>
      </c>
      <c r="G721">
        <v>4.4000000000000004</v>
      </c>
      <c r="H721">
        <v>2</v>
      </c>
      <c r="I721">
        <v>68.8</v>
      </c>
      <c r="J721">
        <v>98</v>
      </c>
      <c r="K721" t="str">
        <f>IF(COUNTIFS($A$2:A721, A721, $C$2:C721, C721)&gt;1, "Duplicate", "Unique")</f>
        <v>Duplicate</v>
      </c>
      <c r="L721" t="str">
        <f t="shared" si="34"/>
        <v>Normal</v>
      </c>
      <c r="M721" t="str">
        <f t="shared" si="35"/>
        <v>Normal</v>
      </c>
      <c r="N721" s="55"/>
    </row>
    <row r="722" spans="1:14" x14ac:dyDescent="0.3">
      <c r="A722" t="s">
        <v>13</v>
      </c>
      <c r="B722" t="s">
        <v>14</v>
      </c>
      <c r="C722" s="2">
        <v>46052</v>
      </c>
      <c r="D722">
        <v>220.5</v>
      </c>
      <c r="E722">
        <v>46.9</v>
      </c>
      <c r="F722" s="8">
        <f t="shared" si="33"/>
        <v>4.7014925373134329</v>
      </c>
      <c r="G722">
        <v>2.2000000000000002</v>
      </c>
      <c r="H722">
        <v>3</v>
      </c>
      <c r="I722">
        <v>53.9</v>
      </c>
      <c r="J722">
        <v>91.5</v>
      </c>
      <c r="K722" t="str">
        <f>IF(COUNTIFS($A$2:A722, A722, $C$2:C722, C722)&gt;1, "Duplicate", "Unique")</f>
        <v>Unique</v>
      </c>
      <c r="L722" t="str">
        <f t="shared" si="34"/>
        <v>Normal</v>
      </c>
      <c r="M722" t="str">
        <f t="shared" si="35"/>
        <v>Normal</v>
      </c>
      <c r="N722" s="55"/>
    </row>
    <row r="723" spans="1:14" x14ac:dyDescent="0.3">
      <c r="A723" t="s">
        <v>13</v>
      </c>
      <c r="B723" t="s">
        <v>14</v>
      </c>
      <c r="C723" s="2">
        <v>46024</v>
      </c>
      <c r="D723">
        <v>336.5</v>
      </c>
      <c r="E723">
        <v>86.3</v>
      </c>
      <c r="F723" s="8">
        <f t="shared" si="33"/>
        <v>3.8991888760139051</v>
      </c>
      <c r="G723">
        <v>1.1000000000000001</v>
      </c>
      <c r="H723">
        <v>6</v>
      </c>
      <c r="I723">
        <v>43.3</v>
      </c>
      <c r="J723">
        <v>94.7</v>
      </c>
      <c r="K723" t="str">
        <f>IF(COUNTIFS($A$2:A723, A723, $C$2:C723, C723)&gt;1, "Duplicate", "Unique")</f>
        <v>Unique</v>
      </c>
      <c r="L723" t="str">
        <f t="shared" si="34"/>
        <v>Normal</v>
      </c>
      <c r="M723" t="str">
        <f t="shared" si="35"/>
        <v>Normal</v>
      </c>
      <c r="N723" s="55"/>
    </row>
    <row r="724" spans="1:14" x14ac:dyDescent="0.3">
      <c r="A724" t="s">
        <v>13</v>
      </c>
      <c r="B724" t="s">
        <v>14</v>
      </c>
      <c r="C724" s="2">
        <v>46101</v>
      </c>
      <c r="D724">
        <v>335.2</v>
      </c>
      <c r="E724">
        <v>62.4</v>
      </c>
      <c r="F724" s="8">
        <f t="shared" si="33"/>
        <v>5.3717948717948714</v>
      </c>
      <c r="G724">
        <v>3.8</v>
      </c>
      <c r="H724">
        <v>2</v>
      </c>
      <c r="I724">
        <v>48.8</v>
      </c>
      <c r="J724">
        <v>98.7</v>
      </c>
      <c r="K724" t="str">
        <f>IF(COUNTIFS($A$2:A724, A724, $C$2:C724, C724)&gt;1, "Duplicate", "Unique")</f>
        <v>Duplicate</v>
      </c>
      <c r="L724" t="str">
        <f t="shared" si="34"/>
        <v>Normal</v>
      </c>
      <c r="M724" t="str">
        <f t="shared" si="35"/>
        <v>Normal</v>
      </c>
      <c r="N724" s="55"/>
    </row>
    <row r="725" spans="1:14" x14ac:dyDescent="0.3">
      <c r="A725" t="s">
        <v>13</v>
      </c>
      <c r="B725" t="s">
        <v>14</v>
      </c>
      <c r="C725" s="2">
        <v>46076</v>
      </c>
      <c r="D725">
        <v>161.6</v>
      </c>
      <c r="E725">
        <v>36.799999999999997</v>
      </c>
      <c r="F725" s="8">
        <f t="shared" si="33"/>
        <v>4.3913043478260869</v>
      </c>
      <c r="G725">
        <v>3.7</v>
      </c>
      <c r="H725">
        <v>1</v>
      </c>
      <c r="I725">
        <v>64.099999999999994</v>
      </c>
      <c r="J725">
        <v>87.4</v>
      </c>
      <c r="K725" t="str">
        <f>IF(COUNTIFS($A$2:A725, A725, $C$2:C725, C725)&gt;1, "Duplicate", "Unique")</f>
        <v>Duplicate</v>
      </c>
      <c r="L725" t="str">
        <f t="shared" si="34"/>
        <v>Normal</v>
      </c>
      <c r="M725" t="str">
        <f t="shared" si="35"/>
        <v>Normal</v>
      </c>
      <c r="N725" s="55"/>
    </row>
    <row r="726" spans="1:14" x14ac:dyDescent="0.3">
      <c r="A726" t="s">
        <v>13</v>
      </c>
      <c r="B726" t="s">
        <v>14</v>
      </c>
      <c r="C726" s="2">
        <v>46060</v>
      </c>
      <c r="D726">
        <v>386.9</v>
      </c>
      <c r="E726">
        <v>86.6</v>
      </c>
      <c r="F726" s="8">
        <f t="shared" si="33"/>
        <v>4.4676674364896076</v>
      </c>
      <c r="G726">
        <v>3.9</v>
      </c>
      <c r="H726">
        <v>4</v>
      </c>
      <c r="I726">
        <v>61.7</v>
      </c>
      <c r="J726">
        <v>85.7</v>
      </c>
      <c r="K726" t="str">
        <f>IF(COUNTIFS($A$2:A726, A726, $C$2:C726, C726)&gt;1, "Duplicate", "Unique")</f>
        <v>Duplicate</v>
      </c>
      <c r="L726" t="str">
        <f t="shared" si="34"/>
        <v>Normal</v>
      </c>
      <c r="M726" t="str">
        <f t="shared" si="35"/>
        <v>Normal</v>
      </c>
      <c r="N726" s="55"/>
    </row>
    <row r="727" spans="1:14" x14ac:dyDescent="0.3">
      <c r="A727" t="s">
        <v>41</v>
      </c>
      <c r="B727" t="s">
        <v>42</v>
      </c>
      <c r="C727" s="2">
        <v>46095</v>
      </c>
      <c r="D727">
        <v>273.39999999999998</v>
      </c>
      <c r="E727">
        <v>51.4</v>
      </c>
      <c r="F727" s="8">
        <f t="shared" si="33"/>
        <v>5.3190661478599219</v>
      </c>
      <c r="G727">
        <v>1.1000000000000001</v>
      </c>
      <c r="H727">
        <v>6</v>
      </c>
      <c r="I727">
        <v>40.700000000000003</v>
      </c>
      <c r="J727">
        <v>90.9</v>
      </c>
      <c r="K727" t="str">
        <f>IF(COUNTIFS($A$2:A727, A727, $C$2:C727, C727)&gt;1, "Duplicate", "Unique")</f>
        <v>Unique</v>
      </c>
      <c r="L727" t="str">
        <f t="shared" si="34"/>
        <v>Normal</v>
      </c>
      <c r="M727" t="str">
        <f t="shared" si="35"/>
        <v>Normal</v>
      </c>
      <c r="N727" s="55"/>
    </row>
    <row r="728" spans="1:14" x14ac:dyDescent="0.3">
      <c r="A728" t="s">
        <v>41</v>
      </c>
      <c r="B728" t="s">
        <v>42</v>
      </c>
      <c r="C728" s="2">
        <v>46093</v>
      </c>
      <c r="D728">
        <v>134.80000000000001</v>
      </c>
      <c r="E728">
        <v>42.9</v>
      </c>
      <c r="F728" s="8">
        <f t="shared" si="33"/>
        <v>3.1421911421911424</v>
      </c>
      <c r="G728">
        <v>1.5</v>
      </c>
      <c r="H728">
        <v>1</v>
      </c>
      <c r="I728">
        <v>70.5</v>
      </c>
      <c r="J728">
        <v>88.2</v>
      </c>
      <c r="K728" t="str">
        <f>IF(COUNTIFS($A$2:A728, A728, $C$2:C728, C728)&gt;1, "Duplicate", "Unique")</f>
        <v>Unique</v>
      </c>
      <c r="L728" t="str">
        <f t="shared" si="34"/>
        <v>Normal</v>
      </c>
      <c r="M728" t="str">
        <f t="shared" si="35"/>
        <v>Normal</v>
      </c>
      <c r="N728" s="55"/>
    </row>
    <row r="729" spans="1:14" x14ac:dyDescent="0.3">
      <c r="A729" t="s">
        <v>41</v>
      </c>
      <c r="B729" t="s">
        <v>42</v>
      </c>
      <c r="C729" s="2">
        <v>46057</v>
      </c>
      <c r="D729">
        <v>199.3</v>
      </c>
      <c r="E729">
        <v>57.6</v>
      </c>
      <c r="F729" s="8">
        <f t="shared" si="33"/>
        <v>3.4600694444444446</v>
      </c>
      <c r="G729">
        <v>4.2</v>
      </c>
      <c r="H729">
        <v>5</v>
      </c>
      <c r="I729">
        <v>69.7</v>
      </c>
      <c r="J729">
        <v>88.7</v>
      </c>
      <c r="K729" t="str">
        <f>IF(COUNTIFS($A$2:A729, A729, $C$2:C729, C729)&gt;1, "Duplicate", "Unique")</f>
        <v>Unique</v>
      </c>
      <c r="L729" t="str">
        <f t="shared" si="34"/>
        <v>Normal</v>
      </c>
      <c r="M729" t="str">
        <f t="shared" si="35"/>
        <v>Normal</v>
      </c>
      <c r="N729" s="55"/>
    </row>
    <row r="730" spans="1:14" x14ac:dyDescent="0.3">
      <c r="A730" t="s">
        <v>41</v>
      </c>
      <c r="B730" t="s">
        <v>42</v>
      </c>
      <c r="C730" s="2">
        <v>46090</v>
      </c>
      <c r="D730">
        <v>300.8</v>
      </c>
      <c r="E730">
        <v>55.2</v>
      </c>
      <c r="F730" s="8">
        <f t="shared" si="33"/>
        <v>5.4492753623188408</v>
      </c>
      <c r="G730">
        <v>3.8</v>
      </c>
      <c r="H730">
        <v>5</v>
      </c>
      <c r="I730">
        <v>40.200000000000003</v>
      </c>
      <c r="J730">
        <v>87.7</v>
      </c>
      <c r="K730" t="str">
        <f>IF(COUNTIFS($A$2:A730, A730, $C$2:C730, C730)&gt;1, "Duplicate", "Unique")</f>
        <v>Unique</v>
      </c>
      <c r="L730" t="str">
        <f t="shared" si="34"/>
        <v>Normal</v>
      </c>
      <c r="M730" t="str">
        <f t="shared" si="35"/>
        <v>Normal</v>
      </c>
      <c r="N730" s="55"/>
    </row>
    <row r="731" spans="1:14" x14ac:dyDescent="0.3">
      <c r="A731" t="s">
        <v>41</v>
      </c>
      <c r="B731" t="s">
        <v>42</v>
      </c>
      <c r="C731" s="2">
        <v>46098</v>
      </c>
      <c r="D731">
        <v>431.8</v>
      </c>
      <c r="E731">
        <v>78.5</v>
      </c>
      <c r="F731" s="8">
        <f t="shared" si="33"/>
        <v>5.5006369426751593</v>
      </c>
      <c r="G731">
        <v>3.1</v>
      </c>
      <c r="H731">
        <v>5</v>
      </c>
      <c r="I731">
        <v>55.9</v>
      </c>
      <c r="J731">
        <v>96.4</v>
      </c>
      <c r="K731" t="str">
        <f>IF(COUNTIFS($A$2:A731, A731, $C$2:C731, C731)&gt;1, "Duplicate", "Unique")</f>
        <v>Unique</v>
      </c>
      <c r="L731" t="str">
        <f t="shared" si="34"/>
        <v>Normal</v>
      </c>
      <c r="M731" t="str">
        <f t="shared" si="35"/>
        <v>Normal</v>
      </c>
      <c r="N731" s="55"/>
    </row>
    <row r="732" spans="1:14" x14ac:dyDescent="0.3">
      <c r="A732" t="s">
        <v>41</v>
      </c>
      <c r="B732" t="s">
        <v>42</v>
      </c>
      <c r="C732" s="2">
        <v>46107</v>
      </c>
      <c r="D732">
        <v>261.2</v>
      </c>
      <c r="E732">
        <v>81.599999999999994</v>
      </c>
      <c r="F732" s="8">
        <f t="shared" si="33"/>
        <v>3.2009803921568629</v>
      </c>
      <c r="G732">
        <v>2.5</v>
      </c>
      <c r="H732">
        <v>6</v>
      </c>
      <c r="I732">
        <v>45</v>
      </c>
      <c r="J732">
        <v>96.4</v>
      </c>
      <c r="K732" t="str">
        <f>IF(COUNTIFS($A$2:A732, A732, $C$2:C732, C732)&gt;1, "Duplicate", "Unique")</f>
        <v>Unique</v>
      </c>
      <c r="L732" t="str">
        <f t="shared" si="34"/>
        <v>Normal</v>
      </c>
      <c r="M732" t="str">
        <f t="shared" si="35"/>
        <v>Normal</v>
      </c>
      <c r="N732" s="55"/>
    </row>
    <row r="733" spans="1:14" x14ac:dyDescent="0.3">
      <c r="A733" t="s">
        <v>41</v>
      </c>
      <c r="B733" t="s">
        <v>42</v>
      </c>
      <c r="C733" s="2">
        <v>46061</v>
      </c>
      <c r="D733">
        <v>316.39999999999998</v>
      </c>
      <c r="E733">
        <v>80.2</v>
      </c>
      <c r="F733" s="8">
        <f t="shared" si="33"/>
        <v>3.9451371571072316</v>
      </c>
      <c r="G733">
        <v>1.3</v>
      </c>
      <c r="H733">
        <v>5</v>
      </c>
      <c r="I733">
        <v>39</v>
      </c>
      <c r="J733">
        <v>90.8</v>
      </c>
      <c r="K733" t="str">
        <f>IF(COUNTIFS($A$2:A733, A733, $C$2:C733, C733)&gt;1, "Duplicate", "Unique")</f>
        <v>Unique</v>
      </c>
      <c r="L733" t="str">
        <f t="shared" si="34"/>
        <v>Normal</v>
      </c>
      <c r="M733" t="str">
        <f t="shared" si="35"/>
        <v>Normal</v>
      </c>
      <c r="N733" s="55"/>
    </row>
    <row r="734" spans="1:14" x14ac:dyDescent="0.3">
      <c r="A734" t="s">
        <v>41</v>
      </c>
      <c r="B734" t="s">
        <v>42</v>
      </c>
      <c r="C734" s="2">
        <v>46085</v>
      </c>
      <c r="D734">
        <v>275</v>
      </c>
      <c r="E734">
        <v>75.7</v>
      </c>
      <c r="F734" s="8">
        <f t="shared" si="33"/>
        <v>3.6327608982826947</v>
      </c>
      <c r="G734">
        <v>1.1000000000000001</v>
      </c>
      <c r="H734">
        <v>1</v>
      </c>
      <c r="I734">
        <v>30.3</v>
      </c>
      <c r="J734">
        <v>89.5</v>
      </c>
      <c r="K734" t="str">
        <f>IF(COUNTIFS($A$2:A734, A734, $C$2:C734, C734)&gt;1, "Duplicate", "Unique")</f>
        <v>Unique</v>
      </c>
      <c r="L734" t="str">
        <f t="shared" si="34"/>
        <v>Normal</v>
      </c>
      <c r="M734" t="str">
        <f t="shared" si="35"/>
        <v>Normal</v>
      </c>
      <c r="N734" s="55"/>
    </row>
    <row r="735" spans="1:14" x14ac:dyDescent="0.3">
      <c r="A735" t="s">
        <v>41</v>
      </c>
      <c r="B735" t="s">
        <v>42</v>
      </c>
      <c r="C735" s="2">
        <v>46080</v>
      </c>
      <c r="D735">
        <v>332</v>
      </c>
      <c r="E735">
        <v>64.099999999999994</v>
      </c>
      <c r="F735" s="8">
        <f t="shared" si="33"/>
        <v>5.1794071762870519</v>
      </c>
      <c r="G735">
        <v>3</v>
      </c>
      <c r="H735">
        <v>6</v>
      </c>
      <c r="I735">
        <v>68.900000000000006</v>
      </c>
      <c r="J735">
        <v>94.4</v>
      </c>
      <c r="K735" t="str">
        <f>IF(COUNTIFS($A$2:A735, A735, $C$2:C735, C735)&gt;1, "Duplicate", "Unique")</f>
        <v>Unique</v>
      </c>
      <c r="L735" t="str">
        <f t="shared" si="34"/>
        <v>Normal</v>
      </c>
      <c r="M735" t="str">
        <f t="shared" si="35"/>
        <v>Normal</v>
      </c>
      <c r="N735" s="55"/>
    </row>
    <row r="736" spans="1:14" x14ac:dyDescent="0.3">
      <c r="A736" t="s">
        <v>41</v>
      </c>
      <c r="B736" t="s">
        <v>42</v>
      </c>
      <c r="C736" s="2">
        <v>46046</v>
      </c>
      <c r="D736">
        <v>364.1</v>
      </c>
      <c r="E736">
        <v>115.6</v>
      </c>
      <c r="F736" s="8">
        <f t="shared" si="33"/>
        <v>3.1496539792387548</v>
      </c>
      <c r="G736">
        <v>2.4</v>
      </c>
      <c r="H736">
        <v>1</v>
      </c>
      <c r="I736">
        <v>67.400000000000006</v>
      </c>
      <c r="J736">
        <v>92.8</v>
      </c>
      <c r="K736" t="str">
        <f>IF(COUNTIFS($A$2:A736, A736, $C$2:C736, C736)&gt;1, "Duplicate", "Unique")</f>
        <v>Unique</v>
      </c>
      <c r="L736" t="str">
        <f t="shared" si="34"/>
        <v>Normal</v>
      </c>
      <c r="M736" t="str">
        <f t="shared" si="35"/>
        <v>Normal</v>
      </c>
      <c r="N736" s="55"/>
    </row>
    <row r="737" spans="1:14" x14ac:dyDescent="0.3">
      <c r="A737" t="s">
        <v>41</v>
      </c>
      <c r="B737" t="s">
        <v>42</v>
      </c>
      <c r="C737" s="2">
        <v>46094</v>
      </c>
      <c r="D737">
        <v>152</v>
      </c>
      <c r="E737">
        <v>35.4</v>
      </c>
      <c r="F737" s="8">
        <f t="shared" si="33"/>
        <v>4.2937853107344637</v>
      </c>
      <c r="G737">
        <v>0.5</v>
      </c>
      <c r="H737">
        <v>8</v>
      </c>
      <c r="I737">
        <v>64.400000000000006</v>
      </c>
      <c r="J737">
        <v>89.2</v>
      </c>
      <c r="K737" t="str">
        <f>IF(COUNTIFS($A$2:A737, A737, $C$2:C737, C737)&gt;1, "Duplicate", "Unique")</f>
        <v>Unique</v>
      </c>
      <c r="L737" t="str">
        <f t="shared" si="34"/>
        <v>Normal</v>
      </c>
      <c r="M737" t="str">
        <f t="shared" si="35"/>
        <v>Normal</v>
      </c>
      <c r="N737" s="55"/>
    </row>
    <row r="738" spans="1:14" x14ac:dyDescent="0.3">
      <c r="A738" t="s">
        <v>41</v>
      </c>
      <c r="B738" t="s">
        <v>42</v>
      </c>
      <c r="C738" s="2">
        <v>46112</v>
      </c>
      <c r="D738">
        <v>120.7</v>
      </c>
      <c r="E738">
        <v>42.3</v>
      </c>
      <c r="F738" s="8">
        <f t="shared" si="33"/>
        <v>2.8534278959810879</v>
      </c>
      <c r="G738">
        <v>1.5</v>
      </c>
      <c r="H738">
        <v>3</v>
      </c>
      <c r="I738">
        <v>48.6</v>
      </c>
      <c r="J738">
        <v>88.1</v>
      </c>
      <c r="K738" t="str">
        <f>IF(COUNTIFS($A$2:A738, A738, $C$2:C738, C738)&gt;1, "Duplicate", "Unique")</f>
        <v>Unique</v>
      </c>
      <c r="L738" t="str">
        <f t="shared" si="34"/>
        <v>Normal</v>
      </c>
      <c r="M738" t="str">
        <f t="shared" si="35"/>
        <v>Suspiciously Low Efficiency</v>
      </c>
      <c r="N738" s="55"/>
    </row>
    <row r="739" spans="1:14" x14ac:dyDescent="0.3">
      <c r="A739" t="s">
        <v>41</v>
      </c>
      <c r="B739" t="s">
        <v>42</v>
      </c>
      <c r="C739" s="2">
        <v>46063</v>
      </c>
      <c r="D739">
        <v>293.7</v>
      </c>
      <c r="E739">
        <v>60.1</v>
      </c>
      <c r="F739" s="8">
        <f t="shared" si="33"/>
        <v>4.8868552412645592</v>
      </c>
      <c r="G739">
        <v>3.7</v>
      </c>
      <c r="H739">
        <v>4</v>
      </c>
      <c r="I739">
        <v>43.6</v>
      </c>
      <c r="J739">
        <v>87.1</v>
      </c>
      <c r="K739" t="str">
        <f>IF(COUNTIFS($A$2:A739, A739, $C$2:C739, C739)&gt;1, "Duplicate", "Unique")</f>
        <v>Unique</v>
      </c>
      <c r="L739" t="str">
        <f t="shared" si="34"/>
        <v>Normal</v>
      </c>
      <c r="M739" t="str">
        <f t="shared" si="35"/>
        <v>Normal</v>
      </c>
      <c r="N739" s="55"/>
    </row>
    <row r="740" spans="1:14" x14ac:dyDescent="0.3">
      <c r="A740" t="s">
        <v>41</v>
      </c>
      <c r="B740" t="s">
        <v>42</v>
      </c>
      <c r="C740" s="2">
        <v>46111</v>
      </c>
      <c r="D740">
        <v>265.2</v>
      </c>
      <c r="E740">
        <v>71.099999999999994</v>
      </c>
      <c r="F740" s="8">
        <f t="shared" si="33"/>
        <v>3.7299578059071732</v>
      </c>
      <c r="G740">
        <v>0.3</v>
      </c>
      <c r="H740">
        <v>2</v>
      </c>
      <c r="I740">
        <v>43.3</v>
      </c>
      <c r="J740">
        <v>98.8</v>
      </c>
      <c r="K740" t="str">
        <f>IF(COUNTIFS($A$2:A740, A740, $C$2:C740, C740)&gt;1, "Duplicate", "Unique")</f>
        <v>Unique</v>
      </c>
      <c r="L740" t="str">
        <f t="shared" si="34"/>
        <v>Normal</v>
      </c>
      <c r="M740" t="str">
        <f t="shared" si="35"/>
        <v>Normal</v>
      </c>
      <c r="N740" s="55"/>
    </row>
    <row r="741" spans="1:14" x14ac:dyDescent="0.3">
      <c r="A741" t="s">
        <v>41</v>
      </c>
      <c r="B741" t="s">
        <v>42</v>
      </c>
      <c r="C741" s="2">
        <v>46111</v>
      </c>
      <c r="D741">
        <v>209.7</v>
      </c>
      <c r="E741">
        <v>44.4</v>
      </c>
      <c r="F741" s="8">
        <f t="shared" si="33"/>
        <v>4.7229729729729728</v>
      </c>
      <c r="G741">
        <v>2.9</v>
      </c>
      <c r="H741">
        <v>3</v>
      </c>
      <c r="I741">
        <v>57.7</v>
      </c>
      <c r="J741">
        <v>96.8</v>
      </c>
      <c r="K741" t="str">
        <f>IF(COUNTIFS($A$2:A741, A741, $C$2:C741, C741)&gt;1, "Duplicate", "Unique")</f>
        <v>Duplicate</v>
      </c>
      <c r="L741" t="str">
        <f t="shared" si="34"/>
        <v>Normal</v>
      </c>
      <c r="M741" t="str">
        <f t="shared" si="35"/>
        <v>Normal</v>
      </c>
      <c r="N741" s="55"/>
    </row>
    <row r="742" spans="1:14" x14ac:dyDescent="0.3">
      <c r="A742" t="s">
        <v>41</v>
      </c>
      <c r="B742" t="s">
        <v>42</v>
      </c>
      <c r="C742" s="2">
        <v>46023</v>
      </c>
      <c r="D742">
        <v>401.5</v>
      </c>
      <c r="E742">
        <v>78.900000000000006</v>
      </c>
      <c r="F742" s="8">
        <f t="shared" si="33"/>
        <v>5.08871989860583</v>
      </c>
      <c r="G742">
        <v>0.6</v>
      </c>
      <c r="H742">
        <v>8</v>
      </c>
      <c r="I742">
        <v>58.6</v>
      </c>
      <c r="J742">
        <v>95.5</v>
      </c>
      <c r="K742" t="str">
        <f>IF(COUNTIFS($A$2:A742, A742, $C$2:C742, C742)&gt;1, "Duplicate", "Unique")</f>
        <v>Unique</v>
      </c>
      <c r="L742" t="str">
        <f t="shared" si="34"/>
        <v>Normal</v>
      </c>
      <c r="M742" t="str">
        <f t="shared" si="35"/>
        <v>Normal</v>
      </c>
      <c r="N742" s="55"/>
    </row>
    <row r="743" spans="1:14" x14ac:dyDescent="0.3">
      <c r="A743" t="s">
        <v>41</v>
      </c>
      <c r="B743" t="s">
        <v>42</v>
      </c>
      <c r="C743" s="2">
        <v>46078</v>
      </c>
      <c r="D743">
        <v>384</v>
      </c>
      <c r="E743">
        <v>99.3</v>
      </c>
      <c r="F743" s="8">
        <f t="shared" si="33"/>
        <v>3.8670694864048341</v>
      </c>
      <c r="G743">
        <v>0.3</v>
      </c>
      <c r="H743">
        <v>7</v>
      </c>
      <c r="I743">
        <v>37.799999999999997</v>
      </c>
      <c r="J743">
        <v>88.2</v>
      </c>
      <c r="K743" t="str">
        <f>IF(COUNTIFS($A$2:A743, A743, $C$2:C743, C743)&gt;1, "Duplicate", "Unique")</f>
        <v>Unique</v>
      </c>
      <c r="L743" t="str">
        <f t="shared" si="34"/>
        <v>Normal</v>
      </c>
      <c r="M743" t="str">
        <f t="shared" si="35"/>
        <v>Normal</v>
      </c>
      <c r="N743" s="55"/>
    </row>
    <row r="744" spans="1:14" x14ac:dyDescent="0.3">
      <c r="A744" t="s">
        <v>41</v>
      </c>
      <c r="B744" t="s">
        <v>42</v>
      </c>
      <c r="C744" s="2">
        <v>46072</v>
      </c>
      <c r="D744">
        <v>211.3</v>
      </c>
      <c r="E744">
        <v>41.7</v>
      </c>
      <c r="F744" s="8">
        <f t="shared" si="33"/>
        <v>5.0671462829736207</v>
      </c>
      <c r="G744">
        <v>3.8</v>
      </c>
      <c r="H744">
        <v>3</v>
      </c>
      <c r="I744">
        <v>40.6</v>
      </c>
      <c r="J744">
        <v>89.8</v>
      </c>
      <c r="K744" t="str">
        <f>IF(COUNTIFS($A$2:A744, A744, $C$2:C744, C744)&gt;1, "Duplicate", "Unique")</f>
        <v>Unique</v>
      </c>
      <c r="L744" t="str">
        <f t="shared" si="34"/>
        <v>Normal</v>
      </c>
      <c r="M744" t="str">
        <f t="shared" si="35"/>
        <v>Normal</v>
      </c>
      <c r="N744" s="55"/>
    </row>
    <row r="745" spans="1:14" x14ac:dyDescent="0.3">
      <c r="A745" t="s">
        <v>41</v>
      </c>
      <c r="B745" t="s">
        <v>42</v>
      </c>
      <c r="C745" s="2">
        <v>46106</v>
      </c>
      <c r="D745">
        <v>360.6</v>
      </c>
      <c r="E745">
        <v>105.8</v>
      </c>
      <c r="F745" s="8">
        <f t="shared" si="33"/>
        <v>3.408317580340265</v>
      </c>
      <c r="G745">
        <v>2.1</v>
      </c>
      <c r="H745">
        <v>1</v>
      </c>
      <c r="I745">
        <v>43.3</v>
      </c>
      <c r="J745">
        <v>89.8</v>
      </c>
      <c r="K745" t="str">
        <f>IF(COUNTIFS($A$2:A745, A745, $C$2:C745, C745)&gt;1, "Duplicate", "Unique")</f>
        <v>Unique</v>
      </c>
      <c r="L745" t="str">
        <f t="shared" si="34"/>
        <v>Normal</v>
      </c>
      <c r="M745" t="str">
        <f t="shared" si="35"/>
        <v>Normal</v>
      </c>
      <c r="N745" s="55"/>
    </row>
    <row r="746" spans="1:14" x14ac:dyDescent="0.3">
      <c r="A746" t="s">
        <v>41</v>
      </c>
      <c r="B746" t="s">
        <v>42</v>
      </c>
      <c r="C746" s="2">
        <v>46080</v>
      </c>
      <c r="D746">
        <v>112.6</v>
      </c>
      <c r="E746">
        <v>27.2</v>
      </c>
      <c r="F746" s="8">
        <f t="shared" si="33"/>
        <v>4.1397058823529411</v>
      </c>
      <c r="G746">
        <v>1.6</v>
      </c>
      <c r="H746">
        <v>8</v>
      </c>
      <c r="I746">
        <v>63.5</v>
      </c>
      <c r="J746">
        <v>85.3</v>
      </c>
      <c r="K746" t="str">
        <f>IF(COUNTIFS($A$2:A746, A746, $C$2:C746, C746)&gt;1, "Duplicate", "Unique")</f>
        <v>Duplicate</v>
      </c>
      <c r="L746" t="str">
        <f t="shared" si="34"/>
        <v>Normal</v>
      </c>
      <c r="M746" t="str">
        <f t="shared" si="35"/>
        <v>Normal</v>
      </c>
      <c r="N746" s="55"/>
    </row>
    <row r="747" spans="1:14" x14ac:dyDescent="0.3">
      <c r="A747" t="s">
        <v>41</v>
      </c>
      <c r="B747" t="s">
        <v>42</v>
      </c>
      <c r="C747" s="2">
        <v>46038</v>
      </c>
      <c r="D747">
        <v>365.7</v>
      </c>
      <c r="E747">
        <v>91.1</v>
      </c>
      <c r="F747" s="8">
        <f t="shared" si="33"/>
        <v>4.0142700329308454</v>
      </c>
      <c r="G747">
        <v>3</v>
      </c>
      <c r="H747">
        <v>3</v>
      </c>
      <c r="I747">
        <v>73.400000000000006</v>
      </c>
      <c r="J747">
        <v>85.1</v>
      </c>
      <c r="K747" t="str">
        <f>IF(COUNTIFS($A$2:A747, A747, $C$2:C747, C747)&gt;1, "Duplicate", "Unique")</f>
        <v>Unique</v>
      </c>
      <c r="L747" t="str">
        <f t="shared" si="34"/>
        <v>Normal</v>
      </c>
      <c r="M747" t="str">
        <f t="shared" si="35"/>
        <v>Normal</v>
      </c>
      <c r="N747" s="55"/>
    </row>
    <row r="748" spans="1:14" x14ac:dyDescent="0.3">
      <c r="A748" t="s">
        <v>41</v>
      </c>
      <c r="B748" t="s">
        <v>42</v>
      </c>
      <c r="C748" s="2">
        <v>46035</v>
      </c>
      <c r="D748">
        <v>237.4</v>
      </c>
      <c r="E748">
        <v>68.099999999999994</v>
      </c>
      <c r="F748" s="8">
        <f t="shared" si="33"/>
        <v>3.4860499265785614</v>
      </c>
      <c r="G748">
        <v>3.5</v>
      </c>
      <c r="H748">
        <v>2</v>
      </c>
      <c r="I748">
        <v>42.7</v>
      </c>
      <c r="J748">
        <v>98.2</v>
      </c>
      <c r="K748" t="str">
        <f>IF(COUNTIFS($A$2:A748, A748, $C$2:C748, C748)&gt;1, "Duplicate", "Unique")</f>
        <v>Unique</v>
      </c>
      <c r="L748" t="str">
        <f t="shared" si="34"/>
        <v>Normal</v>
      </c>
      <c r="M748" t="str">
        <f t="shared" si="35"/>
        <v>Normal</v>
      </c>
      <c r="N748" s="55"/>
    </row>
    <row r="749" spans="1:14" x14ac:dyDescent="0.3">
      <c r="A749" t="s">
        <v>41</v>
      </c>
      <c r="B749" t="s">
        <v>42</v>
      </c>
      <c r="C749" s="2">
        <v>46055</v>
      </c>
      <c r="D749">
        <v>336.9</v>
      </c>
      <c r="E749">
        <v>62.3</v>
      </c>
      <c r="F749" s="8">
        <f t="shared" si="33"/>
        <v>5.4077046548956664</v>
      </c>
      <c r="G749">
        <v>2.6</v>
      </c>
      <c r="H749">
        <v>4</v>
      </c>
      <c r="I749">
        <v>64.099999999999994</v>
      </c>
      <c r="J749">
        <v>99.4</v>
      </c>
      <c r="K749" t="str">
        <f>IF(COUNTIFS($A$2:A749, A749, $C$2:C749, C749)&gt;1, "Duplicate", "Unique")</f>
        <v>Unique</v>
      </c>
      <c r="L749" t="str">
        <f t="shared" si="34"/>
        <v>Normal</v>
      </c>
      <c r="M749" t="str">
        <f t="shared" si="35"/>
        <v>Normal</v>
      </c>
      <c r="N749" s="55"/>
    </row>
    <row r="750" spans="1:14" x14ac:dyDescent="0.3">
      <c r="A750" t="s">
        <v>41</v>
      </c>
      <c r="B750" t="s">
        <v>42</v>
      </c>
      <c r="C750" s="2">
        <v>46110</v>
      </c>
      <c r="D750">
        <v>164.6</v>
      </c>
      <c r="E750">
        <v>53.6</v>
      </c>
      <c r="F750" s="8">
        <f t="shared" si="33"/>
        <v>3.0708955223880596</v>
      </c>
      <c r="G750">
        <v>1.4</v>
      </c>
      <c r="H750">
        <v>4</v>
      </c>
      <c r="I750">
        <v>55</v>
      </c>
      <c r="J750">
        <v>97.8</v>
      </c>
      <c r="K750" t="str">
        <f>IF(COUNTIFS($A$2:A750, A750, $C$2:C750, C750)&gt;1, "Duplicate", "Unique")</f>
        <v>Unique</v>
      </c>
      <c r="L750" t="str">
        <f t="shared" si="34"/>
        <v>Normal</v>
      </c>
      <c r="M750" t="str">
        <f t="shared" si="35"/>
        <v>Normal</v>
      </c>
      <c r="N750" s="55"/>
    </row>
    <row r="751" spans="1:14" x14ac:dyDescent="0.3">
      <c r="A751" t="s">
        <v>41</v>
      </c>
      <c r="B751" t="s">
        <v>42</v>
      </c>
      <c r="C751" s="2">
        <v>46078</v>
      </c>
      <c r="D751">
        <v>273.7</v>
      </c>
      <c r="E751">
        <v>60.5</v>
      </c>
      <c r="F751" s="8">
        <f t="shared" si="33"/>
        <v>4.5239669421487605</v>
      </c>
      <c r="G751">
        <v>1.5</v>
      </c>
      <c r="H751">
        <v>6</v>
      </c>
      <c r="I751">
        <v>51.7</v>
      </c>
      <c r="J751">
        <v>88.4</v>
      </c>
      <c r="K751" t="str">
        <f>IF(COUNTIFS($A$2:A751, A751, $C$2:C751, C751)&gt;1, "Duplicate", "Unique")</f>
        <v>Duplicate</v>
      </c>
      <c r="L751" t="str">
        <f t="shared" si="34"/>
        <v>Normal</v>
      </c>
      <c r="M751" t="str">
        <f t="shared" si="35"/>
        <v>Normal</v>
      </c>
      <c r="N751" s="55"/>
    </row>
    <row r="752" spans="1:14" x14ac:dyDescent="0.3">
      <c r="A752" t="s">
        <v>41</v>
      </c>
      <c r="B752" t="s">
        <v>42</v>
      </c>
      <c r="C752" s="2">
        <v>46046</v>
      </c>
      <c r="D752">
        <v>281.10000000000002</v>
      </c>
      <c r="E752">
        <v>76.5</v>
      </c>
      <c r="F752" s="8">
        <f t="shared" si="33"/>
        <v>3.6745098039215689</v>
      </c>
      <c r="G752">
        <v>2.2000000000000002</v>
      </c>
      <c r="H752">
        <v>3</v>
      </c>
      <c r="I752">
        <v>33.1</v>
      </c>
      <c r="J752">
        <v>87.3</v>
      </c>
      <c r="K752" t="str">
        <f>IF(COUNTIFS($A$2:A752, A752, $C$2:C752, C752)&gt;1, "Duplicate", "Unique")</f>
        <v>Duplicate</v>
      </c>
      <c r="L752" t="str">
        <f t="shared" si="34"/>
        <v>Normal</v>
      </c>
      <c r="M752" t="str">
        <f t="shared" si="35"/>
        <v>Normal</v>
      </c>
      <c r="N752" s="55"/>
    </row>
    <row r="753" spans="1:14" x14ac:dyDescent="0.3">
      <c r="A753" t="s">
        <v>41</v>
      </c>
      <c r="B753" t="s">
        <v>42</v>
      </c>
      <c r="C753" s="2">
        <v>46096</v>
      </c>
      <c r="D753">
        <v>137.19999999999999</v>
      </c>
      <c r="E753">
        <v>47.3</v>
      </c>
      <c r="F753" s="8">
        <f t="shared" si="33"/>
        <v>2.9006342494714588</v>
      </c>
      <c r="G753">
        <v>1.7</v>
      </c>
      <c r="H753">
        <v>3</v>
      </c>
      <c r="I753">
        <v>41.9</v>
      </c>
      <c r="K753" t="str">
        <f>IF(COUNTIFS($A$2:A753, A753, $C$2:C753, C753)&gt;1, "Duplicate", "Unique")</f>
        <v>Unique</v>
      </c>
      <c r="L753" t="str">
        <f t="shared" si="34"/>
        <v>Normal</v>
      </c>
      <c r="M753" t="str">
        <f t="shared" si="35"/>
        <v>Suspiciously Low Efficiency</v>
      </c>
      <c r="N753" s="55"/>
    </row>
    <row r="754" spans="1:14" x14ac:dyDescent="0.3">
      <c r="A754" t="s">
        <v>41</v>
      </c>
      <c r="B754" t="s">
        <v>42</v>
      </c>
      <c r="C754" s="2">
        <v>46071</v>
      </c>
      <c r="D754">
        <v>109</v>
      </c>
      <c r="E754">
        <v>36.9</v>
      </c>
      <c r="F754" s="8">
        <f t="shared" si="33"/>
        <v>2.9539295392953933</v>
      </c>
      <c r="G754">
        <v>3.5</v>
      </c>
      <c r="H754">
        <v>6</v>
      </c>
      <c r="I754">
        <v>69.599999999999994</v>
      </c>
      <c r="J754">
        <v>91.5</v>
      </c>
      <c r="K754" t="str">
        <f>IF(COUNTIFS($A$2:A754, A754, $C$2:C754, C754)&gt;1, "Duplicate", "Unique")</f>
        <v>Unique</v>
      </c>
      <c r="L754" t="str">
        <f t="shared" si="34"/>
        <v>Normal</v>
      </c>
      <c r="M754" t="str">
        <f t="shared" si="35"/>
        <v>Suspiciously Low Efficiency</v>
      </c>
      <c r="N754" s="55"/>
    </row>
    <row r="755" spans="1:14" x14ac:dyDescent="0.3">
      <c r="A755" t="s">
        <v>41</v>
      </c>
      <c r="B755" t="s">
        <v>42</v>
      </c>
      <c r="C755" s="2">
        <v>46034</v>
      </c>
      <c r="D755">
        <v>121.6</v>
      </c>
      <c r="E755">
        <v>31</v>
      </c>
      <c r="F755" s="8">
        <f t="shared" si="33"/>
        <v>3.9225806451612901</v>
      </c>
      <c r="G755">
        <v>1.8</v>
      </c>
      <c r="H755">
        <v>4</v>
      </c>
      <c r="I755">
        <v>44.4</v>
      </c>
      <c r="J755">
        <v>93.9</v>
      </c>
      <c r="K755" t="str">
        <f>IF(COUNTIFS($A$2:A755, A755, $C$2:C755, C755)&gt;1, "Duplicate", "Unique")</f>
        <v>Unique</v>
      </c>
      <c r="L755" t="str">
        <f t="shared" si="34"/>
        <v>Normal</v>
      </c>
      <c r="M755" t="str">
        <f t="shared" si="35"/>
        <v>Normal</v>
      </c>
      <c r="N755" s="55"/>
    </row>
    <row r="756" spans="1:14" x14ac:dyDescent="0.3">
      <c r="A756" t="s">
        <v>41</v>
      </c>
      <c r="B756" t="s">
        <v>42</v>
      </c>
      <c r="C756" s="2">
        <v>46100</v>
      </c>
      <c r="D756">
        <v>190.4</v>
      </c>
      <c r="E756">
        <v>36</v>
      </c>
      <c r="F756" s="8">
        <f t="shared" si="33"/>
        <v>5.2888888888888888</v>
      </c>
      <c r="G756">
        <v>0.4</v>
      </c>
      <c r="H756">
        <v>7</v>
      </c>
      <c r="I756">
        <v>74.7</v>
      </c>
      <c r="J756">
        <v>87.4</v>
      </c>
      <c r="K756" t="str">
        <f>IF(COUNTIFS($A$2:A756, A756, $C$2:C756, C756)&gt;1, "Duplicate", "Unique")</f>
        <v>Unique</v>
      </c>
      <c r="L756" t="str">
        <f t="shared" si="34"/>
        <v>Normal</v>
      </c>
      <c r="M756" t="str">
        <f t="shared" si="35"/>
        <v>Normal</v>
      </c>
      <c r="N756" s="55"/>
    </row>
    <row r="757" spans="1:14" x14ac:dyDescent="0.3">
      <c r="A757" t="s">
        <v>41</v>
      </c>
      <c r="B757" t="s">
        <v>42</v>
      </c>
      <c r="C757" s="2">
        <v>46062</v>
      </c>
      <c r="D757">
        <v>306.8</v>
      </c>
      <c r="E757">
        <v>58.6</v>
      </c>
      <c r="F757" s="8">
        <f t="shared" si="33"/>
        <v>5.2354948805460753</v>
      </c>
      <c r="G757">
        <v>2.5</v>
      </c>
      <c r="H757">
        <v>1</v>
      </c>
      <c r="I757">
        <v>51.1</v>
      </c>
      <c r="J757">
        <v>92.7</v>
      </c>
      <c r="K757" t="str">
        <f>IF(COUNTIFS($A$2:A757, A757, $C$2:C757, C757)&gt;1, "Duplicate", "Unique")</f>
        <v>Unique</v>
      </c>
      <c r="L757" t="str">
        <f t="shared" si="34"/>
        <v>Normal</v>
      </c>
      <c r="M757" t="str">
        <f t="shared" si="35"/>
        <v>Normal</v>
      </c>
      <c r="N757" s="55"/>
    </row>
    <row r="758" spans="1:14" x14ac:dyDescent="0.3">
      <c r="A758" t="s">
        <v>41</v>
      </c>
      <c r="B758" t="s">
        <v>42</v>
      </c>
      <c r="C758" s="2">
        <v>46073</v>
      </c>
      <c r="D758">
        <v>250.6</v>
      </c>
      <c r="E758">
        <v>54.2</v>
      </c>
      <c r="F758" s="8">
        <f t="shared" si="33"/>
        <v>4.6236162361623609</v>
      </c>
      <c r="G758">
        <v>1.2</v>
      </c>
      <c r="H758">
        <v>4</v>
      </c>
      <c r="I758">
        <v>53.4</v>
      </c>
      <c r="J758">
        <v>95.2</v>
      </c>
      <c r="K758" t="str">
        <f>IF(COUNTIFS($A$2:A758, A758, $C$2:C758, C758)&gt;1, "Duplicate", "Unique")</f>
        <v>Unique</v>
      </c>
      <c r="L758" t="str">
        <f t="shared" si="34"/>
        <v>Normal</v>
      </c>
      <c r="M758" t="str">
        <f t="shared" si="35"/>
        <v>Normal</v>
      </c>
      <c r="N758" s="55"/>
    </row>
    <row r="759" spans="1:14" x14ac:dyDescent="0.3">
      <c r="A759" t="s">
        <v>41</v>
      </c>
      <c r="B759" t="s">
        <v>42</v>
      </c>
      <c r="C759" s="2">
        <v>46053</v>
      </c>
      <c r="D759">
        <v>261</v>
      </c>
      <c r="E759">
        <v>87.9</v>
      </c>
      <c r="F759" s="8">
        <f t="shared" si="33"/>
        <v>2.9692832764505117</v>
      </c>
      <c r="G759">
        <v>2.5</v>
      </c>
      <c r="H759">
        <v>5</v>
      </c>
      <c r="I759">
        <v>52.5</v>
      </c>
      <c r="J759">
        <v>99.5</v>
      </c>
      <c r="K759" t="str">
        <f>IF(COUNTIFS($A$2:A759, A759, $C$2:C759, C759)&gt;1, "Duplicate", "Unique")</f>
        <v>Unique</v>
      </c>
      <c r="L759" t="str">
        <f t="shared" si="34"/>
        <v>Normal</v>
      </c>
      <c r="M759" t="str">
        <f t="shared" si="35"/>
        <v>Suspiciously Low Efficiency</v>
      </c>
      <c r="N759" s="55"/>
    </row>
    <row r="760" spans="1:14" x14ac:dyDescent="0.3">
      <c r="A760" t="s">
        <v>41</v>
      </c>
      <c r="B760" t="s">
        <v>42</v>
      </c>
      <c r="C760" s="2">
        <v>46031</v>
      </c>
      <c r="D760">
        <v>382.6</v>
      </c>
      <c r="E760">
        <v>123.9</v>
      </c>
      <c r="F760" s="8">
        <f t="shared" si="33"/>
        <v>3.0879741727199357</v>
      </c>
      <c r="G760">
        <v>2.2999999999999998</v>
      </c>
      <c r="H760">
        <v>4</v>
      </c>
      <c r="I760">
        <v>32.799999999999997</v>
      </c>
      <c r="J760">
        <v>88</v>
      </c>
      <c r="K760" t="str">
        <f>IF(COUNTIFS($A$2:A760, A760, $C$2:C760, C760)&gt;1, "Duplicate", "Unique")</f>
        <v>Unique</v>
      </c>
      <c r="L760" t="str">
        <f t="shared" si="34"/>
        <v>Normal</v>
      </c>
      <c r="M760" t="str">
        <f t="shared" si="35"/>
        <v>Normal</v>
      </c>
      <c r="N760" s="55"/>
    </row>
    <row r="761" spans="1:14" x14ac:dyDescent="0.3">
      <c r="A761" t="s">
        <v>41</v>
      </c>
      <c r="B761" t="s">
        <v>42</v>
      </c>
      <c r="C761" s="2">
        <v>46059</v>
      </c>
      <c r="D761">
        <v>234</v>
      </c>
      <c r="E761">
        <v>47</v>
      </c>
      <c r="F761" s="8">
        <f t="shared" si="33"/>
        <v>4.9787234042553195</v>
      </c>
      <c r="G761">
        <v>3.5</v>
      </c>
      <c r="H761">
        <v>3</v>
      </c>
      <c r="I761">
        <v>39.299999999999997</v>
      </c>
      <c r="J761">
        <v>94.6</v>
      </c>
      <c r="K761" t="str">
        <f>IF(COUNTIFS($A$2:A761, A761, $C$2:C761, C761)&gt;1, "Duplicate", "Unique")</f>
        <v>Unique</v>
      </c>
      <c r="L761" t="str">
        <f t="shared" si="34"/>
        <v>Normal</v>
      </c>
      <c r="M761" t="str">
        <f t="shared" si="35"/>
        <v>Normal</v>
      </c>
      <c r="N761" s="55"/>
    </row>
    <row r="762" spans="1:14" x14ac:dyDescent="0.3">
      <c r="A762" t="s">
        <v>41</v>
      </c>
      <c r="B762" t="s">
        <v>42</v>
      </c>
      <c r="C762" s="2">
        <v>46042</v>
      </c>
      <c r="D762">
        <v>418.1</v>
      </c>
      <c r="E762">
        <v>80</v>
      </c>
      <c r="F762" s="8">
        <f t="shared" si="33"/>
        <v>5.2262500000000003</v>
      </c>
      <c r="G762">
        <v>2</v>
      </c>
      <c r="H762">
        <v>1</v>
      </c>
      <c r="I762">
        <v>31.8</v>
      </c>
      <c r="J762">
        <v>92.1</v>
      </c>
      <c r="K762" t="str">
        <f>IF(COUNTIFS($A$2:A762, A762, $C$2:C762, C762)&gt;1, "Duplicate", "Unique")</f>
        <v>Unique</v>
      </c>
      <c r="L762" t="str">
        <f t="shared" si="34"/>
        <v>Normal</v>
      </c>
      <c r="M762" t="str">
        <f t="shared" si="35"/>
        <v>Normal</v>
      </c>
      <c r="N762" s="55"/>
    </row>
    <row r="763" spans="1:14" x14ac:dyDescent="0.3">
      <c r="A763" t="s">
        <v>45</v>
      </c>
      <c r="B763" t="s">
        <v>46</v>
      </c>
      <c r="C763" s="2">
        <v>46095</v>
      </c>
      <c r="D763">
        <v>191.4</v>
      </c>
      <c r="E763">
        <v>44.7</v>
      </c>
      <c r="F763" s="8">
        <f t="shared" si="33"/>
        <v>4.2818791946308723</v>
      </c>
      <c r="G763">
        <v>0.2</v>
      </c>
      <c r="H763">
        <v>5</v>
      </c>
      <c r="I763">
        <v>39.5</v>
      </c>
      <c r="J763">
        <v>96.8</v>
      </c>
      <c r="K763" t="str">
        <f>IF(COUNTIFS($A$2:A763, A763, $C$2:C763, C763)&gt;1, "Duplicate", "Unique")</f>
        <v>Unique</v>
      </c>
      <c r="L763" t="str">
        <f t="shared" si="34"/>
        <v>Normal</v>
      </c>
      <c r="M763" t="str">
        <f t="shared" si="35"/>
        <v>Normal</v>
      </c>
      <c r="N763" s="55"/>
    </row>
    <row r="764" spans="1:14" x14ac:dyDescent="0.3">
      <c r="A764" t="s">
        <v>45</v>
      </c>
      <c r="B764" t="s">
        <v>46</v>
      </c>
      <c r="C764" s="2">
        <v>46106</v>
      </c>
      <c r="D764">
        <v>199.2</v>
      </c>
      <c r="E764">
        <v>49.9</v>
      </c>
      <c r="F764" s="8">
        <f t="shared" si="33"/>
        <v>3.9919839679358717</v>
      </c>
      <c r="G764">
        <v>3.1</v>
      </c>
      <c r="H764">
        <v>8</v>
      </c>
      <c r="I764">
        <v>65.7</v>
      </c>
      <c r="J764">
        <v>99.4</v>
      </c>
      <c r="K764" t="str">
        <f>IF(COUNTIFS($A$2:A764, A764, $C$2:C764, C764)&gt;1, "Duplicate", "Unique")</f>
        <v>Unique</v>
      </c>
      <c r="L764" t="str">
        <f t="shared" si="34"/>
        <v>Normal</v>
      </c>
      <c r="M764" t="str">
        <f t="shared" si="35"/>
        <v>Normal</v>
      </c>
      <c r="N764" s="55"/>
    </row>
    <row r="765" spans="1:14" x14ac:dyDescent="0.3">
      <c r="A765" t="s">
        <v>45</v>
      </c>
      <c r="B765" t="s">
        <v>46</v>
      </c>
      <c r="C765" s="2">
        <v>46087</v>
      </c>
      <c r="D765">
        <v>237.9</v>
      </c>
      <c r="E765">
        <v>45.3</v>
      </c>
      <c r="F765" s="8">
        <f t="shared" si="33"/>
        <v>5.2516556291390737</v>
      </c>
      <c r="G765">
        <v>2.1</v>
      </c>
      <c r="H765">
        <v>3</v>
      </c>
      <c r="I765">
        <v>63.5</v>
      </c>
      <c r="J765">
        <v>92.1</v>
      </c>
      <c r="K765" t="str">
        <f>IF(COUNTIFS($A$2:A765, A765, $C$2:C765, C765)&gt;1, "Duplicate", "Unique")</f>
        <v>Unique</v>
      </c>
      <c r="L765" t="str">
        <f t="shared" si="34"/>
        <v>Normal</v>
      </c>
      <c r="M765" t="str">
        <f t="shared" si="35"/>
        <v>Normal</v>
      </c>
      <c r="N765" s="55"/>
    </row>
    <row r="766" spans="1:14" x14ac:dyDescent="0.3">
      <c r="A766" t="s">
        <v>45</v>
      </c>
      <c r="B766" t="s">
        <v>46</v>
      </c>
      <c r="C766" s="2">
        <v>46091</v>
      </c>
      <c r="D766">
        <v>90</v>
      </c>
      <c r="E766">
        <v>23.3</v>
      </c>
      <c r="F766" s="8">
        <f t="shared" si="33"/>
        <v>3.8626609442060085</v>
      </c>
      <c r="G766">
        <v>2.6</v>
      </c>
      <c r="H766">
        <v>1</v>
      </c>
      <c r="I766">
        <v>33.799999999999997</v>
      </c>
      <c r="J766">
        <v>91.4</v>
      </c>
      <c r="K766" t="str">
        <f>IF(COUNTIFS($A$2:A766, A766, $C$2:C766, C766)&gt;1, "Duplicate", "Unique")</f>
        <v>Unique</v>
      </c>
      <c r="L766" t="str">
        <f t="shared" si="34"/>
        <v>Normal</v>
      </c>
      <c r="M766" t="str">
        <f t="shared" si="35"/>
        <v>Normal</v>
      </c>
      <c r="N766" s="55"/>
    </row>
    <row r="767" spans="1:14" x14ac:dyDescent="0.3">
      <c r="A767" t="s">
        <v>45</v>
      </c>
      <c r="B767" t="s">
        <v>46</v>
      </c>
      <c r="C767" s="2">
        <v>46037</v>
      </c>
      <c r="D767">
        <v>367.8</v>
      </c>
      <c r="E767">
        <v>113.4</v>
      </c>
      <c r="F767" s="8">
        <f t="shared" si="33"/>
        <v>3.2433862433862433</v>
      </c>
      <c r="G767">
        <v>1.5</v>
      </c>
      <c r="H767">
        <v>1</v>
      </c>
      <c r="I767">
        <v>71.8</v>
      </c>
      <c r="J767">
        <v>93.6</v>
      </c>
      <c r="K767" t="str">
        <f>IF(COUNTIFS($A$2:A767, A767, $C$2:C767, C767)&gt;1, "Duplicate", "Unique")</f>
        <v>Unique</v>
      </c>
      <c r="L767" t="str">
        <f t="shared" si="34"/>
        <v>Normal</v>
      </c>
      <c r="M767" t="str">
        <f t="shared" si="35"/>
        <v>Normal</v>
      </c>
      <c r="N767" s="55"/>
    </row>
    <row r="768" spans="1:14" x14ac:dyDescent="0.3">
      <c r="A768" t="s">
        <v>45</v>
      </c>
      <c r="B768" t="s">
        <v>46</v>
      </c>
      <c r="C768" s="2">
        <v>46038</v>
      </c>
      <c r="D768">
        <v>374.6</v>
      </c>
      <c r="E768">
        <v>86.6</v>
      </c>
      <c r="F768" s="8">
        <f t="shared" si="33"/>
        <v>4.3256351039260972</v>
      </c>
      <c r="G768">
        <v>0.4</v>
      </c>
      <c r="H768">
        <v>7</v>
      </c>
      <c r="I768">
        <v>59.8</v>
      </c>
      <c r="J768">
        <v>86</v>
      </c>
      <c r="K768" t="str">
        <f>IF(COUNTIFS($A$2:A768, A768, $C$2:C768, C768)&gt;1, "Duplicate", "Unique")</f>
        <v>Unique</v>
      </c>
      <c r="L768" t="str">
        <f t="shared" si="34"/>
        <v>Normal</v>
      </c>
      <c r="M768" t="str">
        <f t="shared" si="35"/>
        <v>Normal</v>
      </c>
      <c r="N768" s="55"/>
    </row>
    <row r="769" spans="1:14" x14ac:dyDescent="0.3">
      <c r="A769" t="s">
        <v>45</v>
      </c>
      <c r="B769" t="s">
        <v>46</v>
      </c>
      <c r="C769" s="2">
        <v>46025</v>
      </c>
      <c r="D769">
        <v>98.7</v>
      </c>
      <c r="F769" s="8">
        <f t="shared" si="33"/>
        <v>0</v>
      </c>
      <c r="G769">
        <v>4.5</v>
      </c>
      <c r="H769">
        <v>4</v>
      </c>
      <c r="I769">
        <v>33.1</v>
      </c>
      <c r="J769">
        <v>96.5</v>
      </c>
      <c r="K769" t="str">
        <f>IF(COUNTIFS($A$2:A769, A769, $C$2:C769, C769)&gt;1, "Duplicate", "Unique")</f>
        <v>Unique</v>
      </c>
      <c r="L769" t="str">
        <f t="shared" si="34"/>
        <v>Normal</v>
      </c>
      <c r="M769">
        <f t="shared" si="35"/>
        <v>0</v>
      </c>
      <c r="N769" s="55"/>
    </row>
    <row r="770" spans="1:14" x14ac:dyDescent="0.3">
      <c r="A770" t="s">
        <v>45</v>
      </c>
      <c r="B770" t="s">
        <v>46</v>
      </c>
      <c r="C770" s="2">
        <v>46041</v>
      </c>
      <c r="D770">
        <v>104.3</v>
      </c>
      <c r="E770">
        <v>29.4</v>
      </c>
      <c r="F770" s="8">
        <f t="shared" si="33"/>
        <v>3.5476190476190479</v>
      </c>
      <c r="G770">
        <v>2.9</v>
      </c>
      <c r="H770">
        <v>6</v>
      </c>
      <c r="I770">
        <v>47.1</v>
      </c>
      <c r="J770">
        <v>94</v>
      </c>
      <c r="K770" t="str">
        <f>IF(COUNTIFS($A$2:A770, A770, $C$2:C770, C770)&gt;1, "Duplicate", "Unique")</f>
        <v>Unique</v>
      </c>
      <c r="L770" t="str">
        <f t="shared" si="34"/>
        <v>Normal</v>
      </c>
      <c r="M770" t="str">
        <f t="shared" si="35"/>
        <v>Normal</v>
      </c>
      <c r="N770" s="55"/>
    </row>
    <row r="771" spans="1:14" x14ac:dyDescent="0.3">
      <c r="A771" t="s">
        <v>45</v>
      </c>
      <c r="B771" t="s">
        <v>46</v>
      </c>
      <c r="C771" s="2">
        <v>46101</v>
      </c>
      <c r="D771">
        <v>329.7</v>
      </c>
      <c r="E771">
        <v>76.599999999999994</v>
      </c>
      <c r="F771" s="8">
        <f t="shared" ref="F771:F811" si="36">IFERROR(D771/E771,0)</f>
        <v>4.304177545691906</v>
      </c>
      <c r="G771">
        <v>2.8</v>
      </c>
      <c r="H771">
        <v>5</v>
      </c>
      <c r="I771">
        <v>31.3</v>
      </c>
      <c r="J771">
        <v>89.1</v>
      </c>
      <c r="K771" t="str">
        <f>IF(COUNTIFS($A$2:A771, A771, $C$2:C771, C771)&gt;1, "Duplicate", "Unique")</f>
        <v>Unique</v>
      </c>
      <c r="L771" t="str">
        <f t="shared" ref="L771:L811" si="37">IF(G771 &gt; (AVERAGE($G$2:$G$811) + (3 * _xlfn.STDEV.P($G$2:$G$811))), "Extreme Idle Outlier", "Normal")</f>
        <v>Normal</v>
      </c>
      <c r="M771" t="str">
        <f t="shared" ref="M771:M811" si="38">IFERROR(IF((D771 / E771) &lt; 3, "Suspiciously Low Efficiency", "Normal"),0)</f>
        <v>Normal</v>
      </c>
      <c r="N771" s="55"/>
    </row>
    <row r="772" spans="1:14" x14ac:dyDescent="0.3">
      <c r="A772" t="s">
        <v>45</v>
      </c>
      <c r="B772" t="s">
        <v>46</v>
      </c>
      <c r="C772" s="2">
        <v>46043</v>
      </c>
      <c r="D772">
        <v>214.6</v>
      </c>
      <c r="E772">
        <v>40.700000000000003</v>
      </c>
      <c r="F772" s="8">
        <f t="shared" si="36"/>
        <v>5.2727272727272725</v>
      </c>
      <c r="G772">
        <v>1.9</v>
      </c>
      <c r="H772">
        <v>6</v>
      </c>
      <c r="I772">
        <v>60.6</v>
      </c>
      <c r="J772">
        <v>85.8</v>
      </c>
      <c r="K772" t="str">
        <f>IF(COUNTIFS($A$2:A772, A772, $C$2:C772, C772)&gt;1, "Duplicate", "Unique")</f>
        <v>Unique</v>
      </c>
      <c r="L772" t="str">
        <f t="shared" si="37"/>
        <v>Normal</v>
      </c>
      <c r="M772" t="str">
        <f t="shared" si="38"/>
        <v>Normal</v>
      </c>
      <c r="N772" s="55"/>
    </row>
    <row r="773" spans="1:14" x14ac:dyDescent="0.3">
      <c r="A773" t="s">
        <v>45</v>
      </c>
      <c r="B773" t="s">
        <v>46</v>
      </c>
      <c r="C773" s="2">
        <v>46042</v>
      </c>
      <c r="D773">
        <v>203.3</v>
      </c>
      <c r="E773">
        <v>46.5</v>
      </c>
      <c r="F773" s="8">
        <f t="shared" si="36"/>
        <v>4.3720430107526882</v>
      </c>
      <c r="G773">
        <v>0.8</v>
      </c>
      <c r="H773">
        <v>6</v>
      </c>
      <c r="I773">
        <v>44</v>
      </c>
      <c r="J773">
        <v>94.8</v>
      </c>
      <c r="K773" t="str">
        <f>IF(COUNTIFS($A$2:A773, A773, $C$2:C773, C773)&gt;1, "Duplicate", "Unique")</f>
        <v>Unique</v>
      </c>
      <c r="L773" t="str">
        <f t="shared" si="37"/>
        <v>Normal</v>
      </c>
      <c r="M773" t="str">
        <f t="shared" si="38"/>
        <v>Normal</v>
      </c>
      <c r="N773" s="55"/>
    </row>
    <row r="774" spans="1:14" x14ac:dyDescent="0.3">
      <c r="A774" t="s">
        <v>45</v>
      </c>
      <c r="B774" t="s">
        <v>46</v>
      </c>
      <c r="C774" s="2">
        <v>46039</v>
      </c>
      <c r="D774">
        <v>301</v>
      </c>
      <c r="E774">
        <v>93.6</v>
      </c>
      <c r="F774" s="8">
        <f t="shared" si="36"/>
        <v>3.2158119658119659</v>
      </c>
      <c r="G774">
        <v>1</v>
      </c>
      <c r="H774">
        <v>3</v>
      </c>
      <c r="I774">
        <v>62.5</v>
      </c>
      <c r="K774" t="str">
        <f>IF(COUNTIFS($A$2:A774, A774, $C$2:C774, C774)&gt;1, "Duplicate", "Unique")</f>
        <v>Unique</v>
      </c>
      <c r="L774" t="str">
        <f t="shared" si="37"/>
        <v>Normal</v>
      </c>
      <c r="M774" t="str">
        <f t="shared" si="38"/>
        <v>Normal</v>
      </c>
      <c r="N774" s="55"/>
    </row>
    <row r="775" spans="1:14" x14ac:dyDescent="0.3">
      <c r="A775" t="s">
        <v>45</v>
      </c>
      <c r="B775" t="s">
        <v>46</v>
      </c>
      <c r="C775" s="2">
        <v>46090</v>
      </c>
      <c r="D775">
        <v>236.6</v>
      </c>
      <c r="E775">
        <v>48.3</v>
      </c>
      <c r="F775" s="8">
        <f t="shared" si="36"/>
        <v>4.8985507246376816</v>
      </c>
      <c r="G775">
        <v>1.2</v>
      </c>
      <c r="H775">
        <v>2</v>
      </c>
      <c r="I775">
        <v>32.1</v>
      </c>
      <c r="J775">
        <v>91.3</v>
      </c>
      <c r="K775" t="str">
        <f>IF(COUNTIFS($A$2:A775, A775, $C$2:C775, C775)&gt;1, "Duplicate", "Unique")</f>
        <v>Unique</v>
      </c>
      <c r="L775" t="str">
        <f t="shared" si="37"/>
        <v>Normal</v>
      </c>
      <c r="M775" t="str">
        <f t="shared" si="38"/>
        <v>Normal</v>
      </c>
      <c r="N775" s="55"/>
    </row>
    <row r="776" spans="1:14" x14ac:dyDescent="0.3">
      <c r="A776" t="s">
        <v>45</v>
      </c>
      <c r="B776" t="s">
        <v>46</v>
      </c>
      <c r="C776" s="2">
        <v>46081</v>
      </c>
      <c r="D776">
        <v>103.2</v>
      </c>
      <c r="E776">
        <v>20.399999999999999</v>
      </c>
      <c r="F776" s="8">
        <f t="shared" si="36"/>
        <v>5.0588235294117654</v>
      </c>
      <c r="G776">
        <v>2.2999999999999998</v>
      </c>
      <c r="H776">
        <v>1</v>
      </c>
      <c r="I776">
        <v>58.4</v>
      </c>
      <c r="J776">
        <v>93.6</v>
      </c>
      <c r="K776" t="str">
        <f>IF(COUNTIFS($A$2:A776, A776, $C$2:C776, C776)&gt;1, "Duplicate", "Unique")</f>
        <v>Unique</v>
      </c>
      <c r="L776" t="str">
        <f t="shared" si="37"/>
        <v>Normal</v>
      </c>
      <c r="M776" t="str">
        <f t="shared" si="38"/>
        <v>Normal</v>
      </c>
      <c r="N776" s="55"/>
    </row>
    <row r="777" spans="1:14" x14ac:dyDescent="0.3">
      <c r="A777" t="s">
        <v>45</v>
      </c>
      <c r="B777" t="s">
        <v>46</v>
      </c>
      <c r="C777" s="2">
        <v>46109</v>
      </c>
      <c r="D777">
        <v>369.1</v>
      </c>
      <c r="E777">
        <v>127.5</v>
      </c>
      <c r="F777" s="8">
        <f t="shared" si="36"/>
        <v>2.8949019607843138</v>
      </c>
      <c r="G777">
        <v>0.5</v>
      </c>
      <c r="H777">
        <v>6</v>
      </c>
      <c r="I777">
        <v>46.3</v>
      </c>
      <c r="J777">
        <v>99.2</v>
      </c>
      <c r="K777" t="str">
        <f>IF(COUNTIFS($A$2:A777, A777, $C$2:C777, C777)&gt;1, "Duplicate", "Unique")</f>
        <v>Unique</v>
      </c>
      <c r="L777" t="str">
        <f t="shared" si="37"/>
        <v>Normal</v>
      </c>
      <c r="M777" t="str">
        <f t="shared" si="38"/>
        <v>Suspiciously Low Efficiency</v>
      </c>
      <c r="N777" s="55"/>
    </row>
    <row r="778" spans="1:14" x14ac:dyDescent="0.3">
      <c r="A778" t="s">
        <v>45</v>
      </c>
      <c r="B778" t="s">
        <v>46</v>
      </c>
      <c r="C778" s="2">
        <v>46110</v>
      </c>
      <c r="D778">
        <v>306.10000000000002</v>
      </c>
      <c r="E778">
        <v>97.3</v>
      </c>
      <c r="F778" s="8">
        <f t="shared" si="36"/>
        <v>3.1459403905447072</v>
      </c>
      <c r="G778">
        <v>0.6</v>
      </c>
      <c r="H778">
        <v>6</v>
      </c>
      <c r="I778">
        <v>65.8</v>
      </c>
      <c r="J778">
        <v>90.1</v>
      </c>
      <c r="K778" t="str">
        <f>IF(COUNTIFS($A$2:A778, A778, $C$2:C778, C778)&gt;1, "Duplicate", "Unique")</f>
        <v>Unique</v>
      </c>
      <c r="L778" t="str">
        <f t="shared" si="37"/>
        <v>Normal</v>
      </c>
      <c r="M778" t="str">
        <f t="shared" si="38"/>
        <v>Normal</v>
      </c>
      <c r="N778" s="55"/>
    </row>
    <row r="779" spans="1:14" x14ac:dyDescent="0.3">
      <c r="A779" t="s">
        <v>45</v>
      </c>
      <c r="B779" t="s">
        <v>46</v>
      </c>
      <c r="C779" s="2">
        <v>46100</v>
      </c>
      <c r="D779">
        <v>94.6</v>
      </c>
      <c r="E779">
        <v>31.6</v>
      </c>
      <c r="F779" s="8">
        <f t="shared" si="36"/>
        <v>2.9936708860759489</v>
      </c>
      <c r="G779">
        <v>3.7</v>
      </c>
      <c r="H779">
        <v>4</v>
      </c>
      <c r="I779">
        <v>51.6</v>
      </c>
      <c r="J779">
        <v>98</v>
      </c>
      <c r="K779" t="str">
        <f>IF(COUNTIFS($A$2:A779, A779, $C$2:C779, C779)&gt;1, "Duplicate", "Unique")</f>
        <v>Unique</v>
      </c>
      <c r="L779" t="str">
        <f t="shared" si="37"/>
        <v>Normal</v>
      </c>
      <c r="M779" t="str">
        <f t="shared" si="38"/>
        <v>Suspiciously Low Efficiency</v>
      </c>
      <c r="N779" s="55"/>
    </row>
    <row r="780" spans="1:14" x14ac:dyDescent="0.3">
      <c r="A780" t="s">
        <v>45</v>
      </c>
      <c r="B780" t="s">
        <v>46</v>
      </c>
      <c r="C780" s="2">
        <v>46084</v>
      </c>
      <c r="D780">
        <v>323.89999999999998</v>
      </c>
      <c r="E780">
        <v>113.9</v>
      </c>
      <c r="F780" s="8">
        <f t="shared" si="36"/>
        <v>2.8437225636523262</v>
      </c>
      <c r="G780">
        <v>2.5</v>
      </c>
      <c r="H780">
        <v>7</v>
      </c>
      <c r="I780">
        <v>30.5</v>
      </c>
      <c r="J780">
        <v>92.9</v>
      </c>
      <c r="K780" t="str">
        <f>IF(COUNTIFS($A$2:A780, A780, $C$2:C780, C780)&gt;1, "Duplicate", "Unique")</f>
        <v>Unique</v>
      </c>
      <c r="L780" t="str">
        <f t="shared" si="37"/>
        <v>Normal</v>
      </c>
      <c r="M780" t="str">
        <f t="shared" si="38"/>
        <v>Suspiciously Low Efficiency</v>
      </c>
      <c r="N780" s="55"/>
    </row>
    <row r="781" spans="1:14" x14ac:dyDescent="0.3">
      <c r="A781" t="s">
        <v>45</v>
      </c>
      <c r="B781" t="s">
        <v>46</v>
      </c>
      <c r="C781" s="2">
        <v>46040</v>
      </c>
      <c r="D781">
        <v>191.2</v>
      </c>
      <c r="E781">
        <v>43.2</v>
      </c>
      <c r="F781" s="8">
        <f t="shared" si="36"/>
        <v>4.4259259259259256</v>
      </c>
      <c r="G781">
        <v>3.2</v>
      </c>
      <c r="H781">
        <v>8</v>
      </c>
      <c r="I781">
        <v>44.1</v>
      </c>
      <c r="J781">
        <v>99.5</v>
      </c>
      <c r="K781" t="str">
        <f>IF(COUNTIFS($A$2:A781, A781, $C$2:C781, C781)&gt;1, "Duplicate", "Unique")</f>
        <v>Unique</v>
      </c>
      <c r="L781" t="str">
        <f t="shared" si="37"/>
        <v>Normal</v>
      </c>
      <c r="M781" t="str">
        <f t="shared" si="38"/>
        <v>Normal</v>
      </c>
      <c r="N781" s="55"/>
    </row>
    <row r="782" spans="1:14" x14ac:dyDescent="0.3">
      <c r="A782" t="s">
        <v>45</v>
      </c>
      <c r="B782" t="s">
        <v>46</v>
      </c>
      <c r="C782" s="2">
        <v>46072</v>
      </c>
      <c r="D782">
        <v>306.2</v>
      </c>
      <c r="E782">
        <v>69.8</v>
      </c>
      <c r="F782" s="8">
        <f t="shared" si="36"/>
        <v>4.3868194842406876</v>
      </c>
      <c r="G782">
        <v>1.7</v>
      </c>
      <c r="H782">
        <v>8</v>
      </c>
      <c r="I782">
        <v>57.8</v>
      </c>
      <c r="J782">
        <v>97.2</v>
      </c>
      <c r="K782" t="str">
        <f>IF(COUNTIFS($A$2:A782, A782, $C$2:C782, C782)&gt;1, "Duplicate", "Unique")</f>
        <v>Unique</v>
      </c>
      <c r="L782" t="str">
        <f t="shared" si="37"/>
        <v>Normal</v>
      </c>
      <c r="M782" t="str">
        <f t="shared" si="38"/>
        <v>Normal</v>
      </c>
      <c r="N782" s="55"/>
    </row>
    <row r="783" spans="1:14" x14ac:dyDescent="0.3">
      <c r="A783" t="s">
        <v>45</v>
      </c>
      <c r="B783" t="s">
        <v>46</v>
      </c>
      <c r="C783" s="2">
        <v>46106</v>
      </c>
      <c r="D783">
        <v>140.69999999999999</v>
      </c>
      <c r="E783">
        <v>37.5</v>
      </c>
      <c r="F783" s="8">
        <f t="shared" si="36"/>
        <v>3.7519999999999998</v>
      </c>
      <c r="G783">
        <v>1.1000000000000001</v>
      </c>
      <c r="H783">
        <v>3</v>
      </c>
      <c r="I783">
        <v>71.400000000000006</v>
      </c>
      <c r="J783">
        <v>94.2</v>
      </c>
      <c r="K783" t="str">
        <f>IF(COUNTIFS($A$2:A783, A783, $C$2:C783, C783)&gt;1, "Duplicate", "Unique")</f>
        <v>Duplicate</v>
      </c>
      <c r="L783" t="str">
        <f t="shared" si="37"/>
        <v>Normal</v>
      </c>
      <c r="M783" t="str">
        <f t="shared" si="38"/>
        <v>Normal</v>
      </c>
      <c r="N783" s="55"/>
    </row>
    <row r="784" spans="1:14" x14ac:dyDescent="0.3">
      <c r="A784" t="s">
        <v>45</v>
      </c>
      <c r="B784" t="s">
        <v>46</v>
      </c>
      <c r="C784" s="2">
        <v>46068</v>
      </c>
      <c r="D784">
        <v>162.6</v>
      </c>
      <c r="E784">
        <v>37</v>
      </c>
      <c r="F784" s="8">
        <f t="shared" si="36"/>
        <v>4.3945945945945946</v>
      </c>
      <c r="G784">
        <v>1</v>
      </c>
      <c r="H784">
        <v>5</v>
      </c>
      <c r="I784">
        <v>63</v>
      </c>
      <c r="J784">
        <v>89.4</v>
      </c>
      <c r="K784" t="str">
        <f>IF(COUNTIFS($A$2:A784, A784, $C$2:C784, C784)&gt;1, "Duplicate", "Unique")</f>
        <v>Unique</v>
      </c>
      <c r="L784" t="str">
        <f t="shared" si="37"/>
        <v>Normal</v>
      </c>
      <c r="M784" t="str">
        <f t="shared" si="38"/>
        <v>Normal</v>
      </c>
      <c r="N784" s="55"/>
    </row>
    <row r="785" spans="1:14" x14ac:dyDescent="0.3">
      <c r="A785" t="s">
        <v>45</v>
      </c>
      <c r="B785" t="s">
        <v>46</v>
      </c>
      <c r="C785" s="2">
        <v>46051</v>
      </c>
      <c r="D785">
        <v>316.7</v>
      </c>
      <c r="E785">
        <v>102.8</v>
      </c>
      <c r="F785" s="8">
        <f t="shared" si="36"/>
        <v>3.0807392996108951</v>
      </c>
      <c r="G785">
        <v>2.2999999999999998</v>
      </c>
      <c r="H785">
        <v>6</v>
      </c>
      <c r="I785">
        <v>63.5</v>
      </c>
      <c r="J785">
        <v>88.6</v>
      </c>
      <c r="K785" t="str">
        <f>IF(COUNTIFS($A$2:A785, A785, $C$2:C785, C785)&gt;1, "Duplicate", "Unique")</f>
        <v>Unique</v>
      </c>
      <c r="L785" t="str">
        <f t="shared" si="37"/>
        <v>Normal</v>
      </c>
      <c r="M785" t="str">
        <f t="shared" si="38"/>
        <v>Normal</v>
      </c>
      <c r="N785" s="55"/>
    </row>
    <row r="786" spans="1:14" x14ac:dyDescent="0.3">
      <c r="A786" t="s">
        <v>45</v>
      </c>
      <c r="B786" t="s">
        <v>46</v>
      </c>
      <c r="C786" s="2">
        <v>46078</v>
      </c>
      <c r="D786">
        <v>138.1</v>
      </c>
      <c r="E786">
        <v>44.9</v>
      </c>
      <c r="F786" s="8">
        <f t="shared" si="36"/>
        <v>3.0757238307349666</v>
      </c>
      <c r="G786">
        <v>1.1000000000000001</v>
      </c>
      <c r="H786">
        <v>4</v>
      </c>
      <c r="I786">
        <v>48.4</v>
      </c>
      <c r="J786">
        <v>93.3</v>
      </c>
      <c r="K786" t="str">
        <f>IF(COUNTIFS($A$2:A786, A786, $C$2:C786, C786)&gt;1, "Duplicate", "Unique")</f>
        <v>Unique</v>
      </c>
      <c r="L786" t="str">
        <f t="shared" si="37"/>
        <v>Normal</v>
      </c>
      <c r="M786" t="str">
        <f t="shared" si="38"/>
        <v>Normal</v>
      </c>
      <c r="N786" s="55"/>
    </row>
    <row r="787" spans="1:14" x14ac:dyDescent="0.3">
      <c r="A787" t="s">
        <v>45</v>
      </c>
      <c r="B787" t="s">
        <v>46</v>
      </c>
      <c r="C787" s="2">
        <v>46083</v>
      </c>
      <c r="D787">
        <v>93.9</v>
      </c>
      <c r="E787">
        <v>26.5</v>
      </c>
      <c r="F787" s="8">
        <f t="shared" si="36"/>
        <v>3.5433962264150947</v>
      </c>
      <c r="G787">
        <v>0.8</v>
      </c>
      <c r="H787">
        <v>7</v>
      </c>
      <c r="I787">
        <v>31.7</v>
      </c>
      <c r="J787">
        <v>98.3</v>
      </c>
      <c r="K787" t="str">
        <f>IF(COUNTIFS($A$2:A787, A787, $C$2:C787, C787)&gt;1, "Duplicate", "Unique")</f>
        <v>Unique</v>
      </c>
      <c r="L787" t="str">
        <f t="shared" si="37"/>
        <v>Normal</v>
      </c>
      <c r="M787" t="str">
        <f t="shared" si="38"/>
        <v>Normal</v>
      </c>
      <c r="N787" s="55"/>
    </row>
    <row r="788" spans="1:14" x14ac:dyDescent="0.3">
      <c r="A788" t="s">
        <v>45</v>
      </c>
      <c r="B788" t="s">
        <v>46</v>
      </c>
      <c r="C788" s="2">
        <v>46073</v>
      </c>
      <c r="D788">
        <v>296.3</v>
      </c>
      <c r="E788">
        <v>105.1</v>
      </c>
      <c r="F788" s="8">
        <f t="shared" si="36"/>
        <v>2.8192197906755472</v>
      </c>
      <c r="G788">
        <v>4.5</v>
      </c>
      <c r="H788">
        <v>6</v>
      </c>
      <c r="I788">
        <v>55.3</v>
      </c>
      <c r="J788">
        <v>93.9</v>
      </c>
      <c r="K788" t="str">
        <f>IF(COUNTIFS($A$2:A788, A788, $C$2:C788, C788)&gt;1, "Duplicate", "Unique")</f>
        <v>Unique</v>
      </c>
      <c r="L788" t="str">
        <f t="shared" si="37"/>
        <v>Normal</v>
      </c>
      <c r="M788" t="str">
        <f t="shared" si="38"/>
        <v>Suspiciously Low Efficiency</v>
      </c>
      <c r="N788" s="55"/>
    </row>
    <row r="789" spans="1:14" x14ac:dyDescent="0.3">
      <c r="A789" t="s">
        <v>45</v>
      </c>
      <c r="B789" t="s">
        <v>46</v>
      </c>
      <c r="C789" s="2">
        <v>46083</v>
      </c>
      <c r="D789">
        <v>345.2</v>
      </c>
      <c r="E789">
        <v>91.3</v>
      </c>
      <c r="F789" s="8">
        <f t="shared" si="36"/>
        <v>3.7809419496166483</v>
      </c>
      <c r="G789">
        <v>2.1</v>
      </c>
      <c r="H789">
        <v>2</v>
      </c>
      <c r="I789">
        <v>64.2</v>
      </c>
      <c r="J789">
        <v>88.3</v>
      </c>
      <c r="K789" t="str">
        <f>IF(COUNTIFS($A$2:A789, A789, $C$2:C789, C789)&gt;1, "Duplicate", "Unique")</f>
        <v>Duplicate</v>
      </c>
      <c r="L789" t="str">
        <f t="shared" si="37"/>
        <v>Normal</v>
      </c>
      <c r="M789" t="str">
        <f t="shared" si="38"/>
        <v>Normal</v>
      </c>
      <c r="N789" s="55"/>
    </row>
    <row r="790" spans="1:14" x14ac:dyDescent="0.3">
      <c r="A790" t="s">
        <v>45</v>
      </c>
      <c r="B790" t="s">
        <v>46</v>
      </c>
      <c r="C790" s="2">
        <v>46079</v>
      </c>
      <c r="D790">
        <v>387.1</v>
      </c>
      <c r="E790">
        <v>73.599999999999994</v>
      </c>
      <c r="F790" s="8">
        <f t="shared" si="36"/>
        <v>5.2595108695652177</v>
      </c>
      <c r="G790">
        <v>3.2</v>
      </c>
      <c r="H790">
        <v>6</v>
      </c>
      <c r="I790">
        <v>64</v>
      </c>
      <c r="J790">
        <v>93.2</v>
      </c>
      <c r="K790" t="str">
        <f>IF(COUNTIFS($A$2:A790, A790, $C$2:C790, C790)&gt;1, "Duplicate", "Unique")</f>
        <v>Unique</v>
      </c>
      <c r="L790" t="str">
        <f t="shared" si="37"/>
        <v>Normal</v>
      </c>
      <c r="M790" t="str">
        <f t="shared" si="38"/>
        <v>Normal</v>
      </c>
      <c r="N790" s="55"/>
    </row>
    <row r="791" spans="1:14" x14ac:dyDescent="0.3">
      <c r="A791" t="s">
        <v>45</v>
      </c>
      <c r="B791" t="s">
        <v>46</v>
      </c>
      <c r="C791" s="2">
        <v>46048</v>
      </c>
      <c r="D791">
        <v>367.2</v>
      </c>
      <c r="E791">
        <v>68</v>
      </c>
      <c r="F791" s="8">
        <f t="shared" si="36"/>
        <v>5.3999999999999995</v>
      </c>
      <c r="G791">
        <v>1.5</v>
      </c>
      <c r="H791">
        <v>3</v>
      </c>
      <c r="I791">
        <v>74.3</v>
      </c>
      <c r="J791">
        <v>86.1</v>
      </c>
      <c r="K791" t="str">
        <f>IF(COUNTIFS($A$2:A791, A791, $C$2:C791, C791)&gt;1, "Duplicate", "Unique")</f>
        <v>Unique</v>
      </c>
      <c r="L791" t="str">
        <f t="shared" si="37"/>
        <v>Normal</v>
      </c>
      <c r="M791" t="str">
        <f t="shared" si="38"/>
        <v>Normal</v>
      </c>
      <c r="N791" s="55"/>
    </row>
    <row r="792" spans="1:14" x14ac:dyDescent="0.3">
      <c r="A792" t="s">
        <v>45</v>
      </c>
      <c r="B792" t="s">
        <v>46</v>
      </c>
      <c r="C792" s="2">
        <v>46107</v>
      </c>
      <c r="D792">
        <v>191.4</v>
      </c>
      <c r="E792">
        <v>38.799999999999997</v>
      </c>
      <c r="F792" s="8">
        <f t="shared" si="36"/>
        <v>4.9329896907216497</v>
      </c>
      <c r="G792">
        <v>2.6</v>
      </c>
      <c r="H792">
        <v>2</v>
      </c>
      <c r="I792">
        <v>65.3</v>
      </c>
      <c r="J792">
        <v>89.8</v>
      </c>
      <c r="K792" t="str">
        <f>IF(COUNTIFS($A$2:A792, A792, $C$2:C792, C792)&gt;1, "Duplicate", "Unique")</f>
        <v>Unique</v>
      </c>
      <c r="L792" t="str">
        <f t="shared" si="37"/>
        <v>Normal</v>
      </c>
      <c r="M792" t="str">
        <f t="shared" si="38"/>
        <v>Normal</v>
      </c>
      <c r="N792" s="55"/>
    </row>
    <row r="793" spans="1:14" x14ac:dyDescent="0.3">
      <c r="A793" t="s">
        <v>45</v>
      </c>
      <c r="B793" t="s">
        <v>46</v>
      </c>
      <c r="C793" s="2">
        <v>46110</v>
      </c>
      <c r="D793">
        <v>141.4</v>
      </c>
      <c r="E793">
        <v>33.799999999999997</v>
      </c>
      <c r="F793" s="8">
        <f t="shared" si="36"/>
        <v>4.1834319526627226</v>
      </c>
      <c r="G793">
        <v>2.1</v>
      </c>
      <c r="H793">
        <v>3</v>
      </c>
      <c r="I793">
        <v>55.5</v>
      </c>
      <c r="J793">
        <v>93.5</v>
      </c>
      <c r="K793" t="str">
        <f>IF(COUNTIFS($A$2:A793, A793, $C$2:C793, C793)&gt;1, "Duplicate", "Unique")</f>
        <v>Duplicate</v>
      </c>
      <c r="L793" t="str">
        <f t="shared" si="37"/>
        <v>Normal</v>
      </c>
      <c r="M793" t="str">
        <f t="shared" si="38"/>
        <v>Normal</v>
      </c>
      <c r="N793" s="55"/>
    </row>
    <row r="794" spans="1:14" x14ac:dyDescent="0.3">
      <c r="A794" t="s">
        <v>45</v>
      </c>
      <c r="B794" t="s">
        <v>46</v>
      </c>
      <c r="C794" s="2">
        <v>46038</v>
      </c>
      <c r="D794">
        <v>324.60000000000002</v>
      </c>
      <c r="E794">
        <v>82.8</v>
      </c>
      <c r="F794" s="8">
        <f t="shared" si="36"/>
        <v>3.9202898550724643</v>
      </c>
      <c r="G794">
        <v>1.6</v>
      </c>
      <c r="H794">
        <v>2</v>
      </c>
      <c r="I794">
        <v>51.7</v>
      </c>
      <c r="J794">
        <v>92.2</v>
      </c>
      <c r="K794" t="str">
        <f>IF(COUNTIFS($A$2:A794, A794, $C$2:C794, C794)&gt;1, "Duplicate", "Unique")</f>
        <v>Duplicate</v>
      </c>
      <c r="L794" t="str">
        <f t="shared" si="37"/>
        <v>Normal</v>
      </c>
      <c r="M794" t="str">
        <f t="shared" si="38"/>
        <v>Normal</v>
      </c>
      <c r="N794" s="55"/>
    </row>
    <row r="795" spans="1:14" x14ac:dyDescent="0.3">
      <c r="A795" t="s">
        <v>45</v>
      </c>
      <c r="B795" t="s">
        <v>46</v>
      </c>
      <c r="C795" s="2">
        <v>46083</v>
      </c>
      <c r="D795">
        <v>400.9</v>
      </c>
      <c r="E795">
        <v>123</v>
      </c>
      <c r="F795" s="8">
        <f t="shared" si="36"/>
        <v>3.2593495934959349</v>
      </c>
      <c r="G795">
        <v>3.8</v>
      </c>
      <c r="H795">
        <v>3</v>
      </c>
      <c r="I795">
        <v>65.8</v>
      </c>
      <c r="J795">
        <v>97.3</v>
      </c>
      <c r="K795" t="str">
        <f>IF(COUNTIFS($A$2:A795, A795, $C$2:C795, C795)&gt;1, "Duplicate", "Unique")</f>
        <v>Duplicate</v>
      </c>
      <c r="L795" t="str">
        <f t="shared" si="37"/>
        <v>Normal</v>
      </c>
      <c r="M795" t="str">
        <f t="shared" si="38"/>
        <v>Normal</v>
      </c>
      <c r="N795" s="55"/>
    </row>
    <row r="796" spans="1:14" x14ac:dyDescent="0.3">
      <c r="A796" t="s">
        <v>45</v>
      </c>
      <c r="B796" t="s">
        <v>46</v>
      </c>
      <c r="C796" s="2">
        <v>46092</v>
      </c>
      <c r="D796">
        <v>386.2</v>
      </c>
      <c r="E796">
        <v>74</v>
      </c>
      <c r="F796" s="8">
        <f t="shared" si="36"/>
        <v>5.2189189189189191</v>
      </c>
      <c r="G796">
        <v>3.5</v>
      </c>
      <c r="H796">
        <v>7</v>
      </c>
      <c r="I796">
        <v>53.5</v>
      </c>
      <c r="J796">
        <v>90.6</v>
      </c>
      <c r="K796" t="str">
        <f>IF(COUNTIFS($A$2:A796, A796, $C$2:C796, C796)&gt;1, "Duplicate", "Unique")</f>
        <v>Unique</v>
      </c>
      <c r="L796" t="str">
        <f t="shared" si="37"/>
        <v>Normal</v>
      </c>
      <c r="M796" t="str">
        <f t="shared" si="38"/>
        <v>Normal</v>
      </c>
      <c r="N796" s="55"/>
    </row>
    <row r="797" spans="1:14" x14ac:dyDescent="0.3">
      <c r="A797" t="s">
        <v>45</v>
      </c>
      <c r="B797" t="s">
        <v>46</v>
      </c>
      <c r="C797" s="2">
        <v>46048</v>
      </c>
      <c r="D797">
        <v>293.39999999999998</v>
      </c>
      <c r="E797">
        <v>64.400000000000006</v>
      </c>
      <c r="F797" s="8">
        <f t="shared" si="36"/>
        <v>4.5559006211180115</v>
      </c>
      <c r="G797">
        <v>2.5</v>
      </c>
      <c r="H797">
        <v>5</v>
      </c>
      <c r="I797">
        <v>46</v>
      </c>
      <c r="J797">
        <v>95.1</v>
      </c>
      <c r="K797" t="str">
        <f>IF(COUNTIFS($A$2:A797, A797, $C$2:C797, C797)&gt;1, "Duplicate", "Unique")</f>
        <v>Duplicate</v>
      </c>
      <c r="L797" t="str">
        <f t="shared" si="37"/>
        <v>Normal</v>
      </c>
      <c r="M797" t="str">
        <f t="shared" si="38"/>
        <v>Normal</v>
      </c>
      <c r="N797" s="55"/>
    </row>
    <row r="798" spans="1:14" x14ac:dyDescent="0.3">
      <c r="A798" t="s">
        <v>45</v>
      </c>
      <c r="B798" t="s">
        <v>46</v>
      </c>
      <c r="C798" s="2">
        <v>46069</v>
      </c>
      <c r="D798">
        <v>367.1</v>
      </c>
      <c r="E798">
        <v>106.6</v>
      </c>
      <c r="F798" s="8">
        <f t="shared" si="36"/>
        <v>3.4437148217636024</v>
      </c>
      <c r="G798">
        <v>3.3</v>
      </c>
      <c r="H798">
        <v>7</v>
      </c>
      <c r="I798">
        <v>38.5</v>
      </c>
      <c r="J798">
        <v>95.2</v>
      </c>
      <c r="K798" t="str">
        <f>IF(COUNTIFS($A$2:A798, A798, $C$2:C798, C798)&gt;1, "Duplicate", "Unique")</f>
        <v>Unique</v>
      </c>
      <c r="L798" t="str">
        <f t="shared" si="37"/>
        <v>Normal</v>
      </c>
      <c r="M798" t="str">
        <f t="shared" si="38"/>
        <v>Normal</v>
      </c>
      <c r="N798" s="55"/>
    </row>
    <row r="799" spans="1:14" x14ac:dyDescent="0.3">
      <c r="A799" t="s">
        <v>45</v>
      </c>
      <c r="B799" t="s">
        <v>46</v>
      </c>
      <c r="C799" s="2">
        <v>46041</v>
      </c>
      <c r="D799">
        <v>401.4</v>
      </c>
      <c r="E799">
        <v>80.099999999999994</v>
      </c>
      <c r="F799" s="8">
        <f t="shared" si="36"/>
        <v>5.01123595505618</v>
      </c>
      <c r="G799">
        <v>0.3</v>
      </c>
      <c r="H799">
        <v>2</v>
      </c>
      <c r="I799">
        <v>43.7</v>
      </c>
      <c r="J799">
        <v>92.1</v>
      </c>
      <c r="K799" t="str">
        <f>IF(COUNTIFS($A$2:A799, A799, $C$2:C799, C799)&gt;1, "Duplicate", "Unique")</f>
        <v>Duplicate</v>
      </c>
      <c r="L799" t="str">
        <f t="shared" si="37"/>
        <v>Normal</v>
      </c>
      <c r="M799" t="str">
        <f t="shared" si="38"/>
        <v>Normal</v>
      </c>
      <c r="N799" s="55"/>
    </row>
    <row r="800" spans="1:14" x14ac:dyDescent="0.3">
      <c r="A800" t="s">
        <v>45</v>
      </c>
      <c r="B800" t="s">
        <v>46</v>
      </c>
      <c r="C800" s="2">
        <v>46052</v>
      </c>
      <c r="D800">
        <v>165.4</v>
      </c>
      <c r="E800">
        <v>57.6</v>
      </c>
      <c r="F800" s="8">
        <f t="shared" si="36"/>
        <v>2.8715277777777777</v>
      </c>
      <c r="G800">
        <v>0.5</v>
      </c>
      <c r="H800">
        <v>8</v>
      </c>
      <c r="I800">
        <v>36</v>
      </c>
      <c r="J800">
        <v>97.7</v>
      </c>
      <c r="K800" t="str">
        <f>IF(COUNTIFS($A$2:A800, A800, $C$2:C800, C800)&gt;1, "Duplicate", "Unique")</f>
        <v>Unique</v>
      </c>
      <c r="L800" t="str">
        <f t="shared" si="37"/>
        <v>Normal</v>
      </c>
      <c r="M800" t="str">
        <f t="shared" si="38"/>
        <v>Suspiciously Low Efficiency</v>
      </c>
      <c r="N800" s="55"/>
    </row>
    <row r="801" spans="1:14" x14ac:dyDescent="0.3">
      <c r="A801" t="s">
        <v>45</v>
      </c>
      <c r="B801" t="s">
        <v>46</v>
      </c>
      <c r="C801" s="2">
        <v>46071</v>
      </c>
      <c r="D801">
        <v>346.5</v>
      </c>
      <c r="E801">
        <v>89.7</v>
      </c>
      <c r="F801" s="8">
        <f t="shared" si="36"/>
        <v>3.8628762541806019</v>
      </c>
      <c r="G801">
        <v>4.2</v>
      </c>
      <c r="H801">
        <v>1</v>
      </c>
      <c r="I801">
        <v>53.4</v>
      </c>
      <c r="J801">
        <v>91.8</v>
      </c>
      <c r="K801" t="str">
        <f>IF(COUNTIFS($A$2:A801, A801, $C$2:C801, C801)&gt;1, "Duplicate", "Unique")</f>
        <v>Unique</v>
      </c>
      <c r="L801" t="str">
        <f t="shared" si="37"/>
        <v>Normal</v>
      </c>
      <c r="M801" t="str">
        <f t="shared" si="38"/>
        <v>Normal</v>
      </c>
      <c r="N801" s="55"/>
    </row>
    <row r="802" spans="1:14" x14ac:dyDescent="0.3">
      <c r="A802" t="s">
        <v>45</v>
      </c>
      <c r="B802" t="s">
        <v>46</v>
      </c>
      <c r="C802" s="2">
        <v>46029</v>
      </c>
      <c r="D802">
        <v>335.3</v>
      </c>
      <c r="E802">
        <v>64</v>
      </c>
      <c r="F802" s="8">
        <f t="shared" si="36"/>
        <v>5.2390625000000002</v>
      </c>
      <c r="G802">
        <v>2.2000000000000002</v>
      </c>
      <c r="H802">
        <v>8</v>
      </c>
      <c r="I802">
        <v>34.1</v>
      </c>
      <c r="J802">
        <v>92.5</v>
      </c>
      <c r="K802" t="str">
        <f>IF(COUNTIFS($A$2:A802, A802, $C$2:C802, C802)&gt;1, "Duplicate", "Unique")</f>
        <v>Unique</v>
      </c>
      <c r="L802" t="str">
        <f t="shared" si="37"/>
        <v>Normal</v>
      </c>
      <c r="M802" t="str">
        <f t="shared" si="38"/>
        <v>Normal</v>
      </c>
      <c r="N802" s="55"/>
    </row>
    <row r="803" spans="1:14" x14ac:dyDescent="0.3">
      <c r="A803" t="s">
        <v>45</v>
      </c>
      <c r="B803" t="s">
        <v>46</v>
      </c>
      <c r="C803" s="2">
        <v>46098</v>
      </c>
      <c r="D803">
        <v>312.89999999999998</v>
      </c>
      <c r="E803">
        <v>67.099999999999994</v>
      </c>
      <c r="F803" s="8">
        <f t="shared" si="36"/>
        <v>4.6631892697466473</v>
      </c>
      <c r="G803">
        <v>2.1</v>
      </c>
      <c r="H803">
        <v>6</v>
      </c>
      <c r="I803">
        <v>44.1</v>
      </c>
      <c r="J803">
        <v>97.3</v>
      </c>
      <c r="K803" t="str">
        <f>IF(COUNTIFS($A$2:A803, A803, $C$2:C803, C803)&gt;1, "Duplicate", "Unique")</f>
        <v>Unique</v>
      </c>
      <c r="L803" t="str">
        <f t="shared" si="37"/>
        <v>Normal</v>
      </c>
      <c r="M803" t="str">
        <f t="shared" si="38"/>
        <v>Normal</v>
      </c>
      <c r="N803" s="55"/>
    </row>
    <row r="804" spans="1:14" x14ac:dyDescent="0.3">
      <c r="A804" t="s">
        <v>45</v>
      </c>
      <c r="B804" t="s">
        <v>46</v>
      </c>
      <c r="C804" s="2">
        <v>46071</v>
      </c>
      <c r="D804">
        <v>201.1</v>
      </c>
      <c r="E804">
        <v>44.3</v>
      </c>
      <c r="F804" s="8">
        <f t="shared" si="36"/>
        <v>4.5395033860045144</v>
      </c>
      <c r="G804">
        <v>0.5</v>
      </c>
      <c r="H804">
        <v>4</v>
      </c>
      <c r="I804">
        <v>66.8</v>
      </c>
      <c r="J804">
        <v>98.3</v>
      </c>
      <c r="K804" t="str">
        <f>IF(COUNTIFS($A$2:A804, A804, $C$2:C804, C804)&gt;1, "Duplicate", "Unique")</f>
        <v>Duplicate</v>
      </c>
      <c r="L804" t="str">
        <f t="shared" si="37"/>
        <v>Normal</v>
      </c>
      <c r="M804" t="str">
        <f t="shared" si="38"/>
        <v>Normal</v>
      </c>
      <c r="N804" s="55"/>
    </row>
    <row r="805" spans="1:14" x14ac:dyDescent="0.3">
      <c r="A805" t="s">
        <v>45</v>
      </c>
      <c r="B805" t="s">
        <v>46</v>
      </c>
      <c r="C805" s="2">
        <v>46034</v>
      </c>
      <c r="D805">
        <v>170.7</v>
      </c>
      <c r="E805">
        <v>37.9</v>
      </c>
      <c r="F805" s="8">
        <f t="shared" si="36"/>
        <v>4.5039577836411606</v>
      </c>
      <c r="G805">
        <v>3.1</v>
      </c>
      <c r="H805">
        <v>2</v>
      </c>
      <c r="I805">
        <v>60.8</v>
      </c>
      <c r="J805">
        <v>93.1</v>
      </c>
      <c r="K805" t="str">
        <f>IF(COUNTIFS($A$2:A805, A805, $C$2:C805, C805)&gt;1, "Duplicate", "Unique")</f>
        <v>Unique</v>
      </c>
      <c r="L805" t="str">
        <f t="shared" si="37"/>
        <v>Normal</v>
      </c>
      <c r="M805" t="str">
        <f t="shared" si="38"/>
        <v>Normal</v>
      </c>
      <c r="N805" s="55"/>
    </row>
    <row r="806" spans="1:14" x14ac:dyDescent="0.3">
      <c r="A806" t="s">
        <v>45</v>
      </c>
      <c r="B806" t="s">
        <v>46</v>
      </c>
      <c r="C806" s="2">
        <v>46061</v>
      </c>
      <c r="D806">
        <v>349</v>
      </c>
      <c r="E806">
        <v>80.7</v>
      </c>
      <c r="F806" s="8">
        <f t="shared" si="36"/>
        <v>4.3246592317224284</v>
      </c>
      <c r="G806">
        <v>0.5</v>
      </c>
      <c r="H806">
        <v>8</v>
      </c>
      <c r="I806">
        <v>56</v>
      </c>
      <c r="J806">
        <v>93.6</v>
      </c>
      <c r="K806" t="str">
        <f>IF(COUNTIFS($A$2:A806, A806, $C$2:C806, C806)&gt;1, "Duplicate", "Unique")</f>
        <v>Unique</v>
      </c>
      <c r="L806" t="str">
        <f t="shared" si="37"/>
        <v>Normal</v>
      </c>
      <c r="M806" t="str">
        <f t="shared" si="38"/>
        <v>Normal</v>
      </c>
      <c r="N806" s="55"/>
    </row>
    <row r="807" spans="1:14" x14ac:dyDescent="0.3">
      <c r="A807" t="s">
        <v>45</v>
      </c>
      <c r="B807" t="s">
        <v>46</v>
      </c>
      <c r="C807" s="2">
        <v>46107</v>
      </c>
      <c r="D807">
        <v>410.8</v>
      </c>
      <c r="E807">
        <v>121.3</v>
      </c>
      <c r="F807" s="8">
        <f t="shared" si="36"/>
        <v>3.3866446826051115</v>
      </c>
      <c r="G807">
        <v>2.8</v>
      </c>
      <c r="H807">
        <v>2</v>
      </c>
      <c r="I807">
        <v>61.9</v>
      </c>
      <c r="J807">
        <v>86.8</v>
      </c>
      <c r="K807" t="str">
        <f>IF(COUNTIFS($A$2:A807, A807, $C$2:C807, C807)&gt;1, "Duplicate", "Unique")</f>
        <v>Duplicate</v>
      </c>
      <c r="L807" t="str">
        <f t="shared" si="37"/>
        <v>Normal</v>
      </c>
      <c r="M807" t="str">
        <f t="shared" si="38"/>
        <v>Normal</v>
      </c>
      <c r="N807" s="55"/>
    </row>
    <row r="808" spans="1:14" x14ac:dyDescent="0.3">
      <c r="A808" t="s">
        <v>45</v>
      </c>
      <c r="B808" t="s">
        <v>46</v>
      </c>
      <c r="C808" s="2">
        <v>46039</v>
      </c>
      <c r="D808">
        <v>219.1</v>
      </c>
      <c r="E808">
        <v>45.1</v>
      </c>
      <c r="F808" s="8">
        <f t="shared" si="36"/>
        <v>4.8580931263858087</v>
      </c>
      <c r="G808">
        <v>3</v>
      </c>
      <c r="H808">
        <v>3</v>
      </c>
      <c r="I808">
        <v>70.3</v>
      </c>
      <c r="J808">
        <v>95.4</v>
      </c>
      <c r="K808" t="str">
        <f>IF(COUNTIFS($A$2:A808, A808, $C$2:C808, C808)&gt;1, "Duplicate", "Unique")</f>
        <v>Duplicate</v>
      </c>
      <c r="L808" t="str">
        <f t="shared" si="37"/>
        <v>Normal</v>
      </c>
      <c r="M808" t="str">
        <f t="shared" si="38"/>
        <v>Normal</v>
      </c>
      <c r="N808" s="55"/>
    </row>
    <row r="809" spans="1:14" x14ac:dyDescent="0.3">
      <c r="A809" t="s">
        <v>45</v>
      </c>
      <c r="B809" t="s">
        <v>46</v>
      </c>
      <c r="C809" s="2">
        <v>46071</v>
      </c>
      <c r="D809">
        <v>367.7</v>
      </c>
      <c r="E809">
        <v>129.4</v>
      </c>
      <c r="F809" s="8">
        <f t="shared" si="36"/>
        <v>2.8415765069551777</v>
      </c>
      <c r="G809">
        <v>2.2999999999999998</v>
      </c>
      <c r="H809">
        <v>1</v>
      </c>
      <c r="I809">
        <v>30.3</v>
      </c>
      <c r="J809">
        <v>98.9</v>
      </c>
      <c r="K809" t="str">
        <f>IF(COUNTIFS($A$2:A809, A809, $C$2:C809, C809)&gt;1, "Duplicate", "Unique")</f>
        <v>Duplicate</v>
      </c>
      <c r="L809" t="str">
        <f t="shared" si="37"/>
        <v>Normal</v>
      </c>
      <c r="M809" t="str">
        <f t="shared" si="38"/>
        <v>Suspiciously Low Efficiency</v>
      </c>
      <c r="N809" s="55"/>
    </row>
    <row r="810" spans="1:14" x14ac:dyDescent="0.3">
      <c r="A810" t="s">
        <v>45</v>
      </c>
      <c r="B810" t="s">
        <v>46</v>
      </c>
      <c r="C810" s="2">
        <v>46034</v>
      </c>
      <c r="D810">
        <v>312.10000000000002</v>
      </c>
      <c r="E810">
        <v>63.5</v>
      </c>
      <c r="F810" s="8">
        <f t="shared" si="36"/>
        <v>4.9149606299212598</v>
      </c>
      <c r="G810">
        <v>1.7</v>
      </c>
      <c r="H810">
        <v>1</v>
      </c>
      <c r="I810">
        <v>55.1</v>
      </c>
      <c r="J810">
        <v>87.9</v>
      </c>
      <c r="K810" t="str">
        <f>IF(COUNTIFS($A$2:A810, A810, $C$2:C810, C810)&gt;1, "Duplicate", "Unique")</f>
        <v>Duplicate</v>
      </c>
      <c r="L810" t="str">
        <f t="shared" si="37"/>
        <v>Normal</v>
      </c>
      <c r="M810" t="str">
        <f t="shared" si="38"/>
        <v>Normal</v>
      </c>
      <c r="N810" s="55"/>
    </row>
    <row r="811" spans="1:14" x14ac:dyDescent="0.3">
      <c r="A811" t="s">
        <v>45</v>
      </c>
      <c r="B811" t="s">
        <v>46</v>
      </c>
      <c r="C811" s="2">
        <v>46028</v>
      </c>
      <c r="D811">
        <v>215.3</v>
      </c>
      <c r="E811">
        <v>65.8</v>
      </c>
      <c r="F811" s="8">
        <f t="shared" si="36"/>
        <v>3.2720364741641341</v>
      </c>
      <c r="G811">
        <v>2.6</v>
      </c>
      <c r="H811">
        <v>2</v>
      </c>
      <c r="I811">
        <v>55.2</v>
      </c>
      <c r="J811">
        <v>96.6</v>
      </c>
      <c r="K811" t="str">
        <f>IF(COUNTIFS($A$2:A811, A811, $C$2:C811, C811)&gt;1, "Duplicate", "Unique")</f>
        <v>Unique</v>
      </c>
      <c r="L811" t="str">
        <f t="shared" si="37"/>
        <v>Normal</v>
      </c>
      <c r="M811" t="str">
        <f t="shared" si="38"/>
        <v>Normal</v>
      </c>
      <c r="N811" s="55"/>
    </row>
  </sheetData>
  <pageMargins left="0.75" right="0.75" top="1" bottom="1" header="0.5" footer="0.5"/>
  <ignoredErrors>
    <ignoredError sqref="K3:K81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4"/>
  <sheetViews>
    <sheetView workbookViewId="0">
      <selection activeCell="C4" sqref="C4"/>
    </sheetView>
  </sheetViews>
  <sheetFormatPr defaultRowHeight="14.4" x14ac:dyDescent="0.3"/>
  <cols>
    <col min="1" max="1" width="9.88671875" bestFit="1" customWidth="1"/>
    <col min="2" max="2" width="18.109375" bestFit="1" customWidth="1"/>
    <col min="3" max="3" width="16.21875" bestFit="1" customWidth="1"/>
    <col min="4" max="4" width="10.21875" bestFit="1" customWidth="1"/>
    <col min="5" max="5" width="12.77734375" bestFit="1" customWidth="1"/>
  </cols>
  <sheetData>
    <row r="1" spans="1:5" x14ac:dyDescent="0.3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">
      <c r="A2" t="s">
        <v>21</v>
      </c>
      <c r="B2" s="2">
        <v>46057.117361111108</v>
      </c>
      <c r="C2" t="s">
        <v>53</v>
      </c>
      <c r="D2">
        <v>19.7</v>
      </c>
      <c r="E2" t="s">
        <v>54</v>
      </c>
    </row>
    <row r="3" spans="1:5" x14ac:dyDescent="0.3">
      <c r="A3" t="s">
        <v>39</v>
      </c>
      <c r="B3" s="2">
        <v>46091.722916666673</v>
      </c>
      <c r="C3" t="s">
        <v>55</v>
      </c>
      <c r="D3">
        <v>130.80000000000001</v>
      </c>
      <c r="E3" t="s">
        <v>56</v>
      </c>
    </row>
    <row r="4" spans="1:5" x14ac:dyDescent="0.3">
      <c r="A4" t="s">
        <v>25</v>
      </c>
      <c r="B4" s="2">
        <v>46066.722916666673</v>
      </c>
      <c r="C4" t="s">
        <v>57</v>
      </c>
      <c r="D4">
        <v>14</v>
      </c>
      <c r="E4" t="s">
        <v>58</v>
      </c>
    </row>
    <row r="5" spans="1:5" x14ac:dyDescent="0.3">
      <c r="A5" t="s">
        <v>11</v>
      </c>
      <c r="B5" s="2">
        <v>46099.50277777778</v>
      </c>
      <c r="C5" t="s">
        <v>59</v>
      </c>
      <c r="D5">
        <v>61</v>
      </c>
      <c r="E5" t="s">
        <v>58</v>
      </c>
    </row>
    <row r="6" spans="1:5" x14ac:dyDescent="0.3">
      <c r="A6" t="s">
        <v>9</v>
      </c>
      <c r="B6" s="2">
        <v>46028.112500000003</v>
      </c>
      <c r="C6" t="s">
        <v>57</v>
      </c>
      <c r="D6">
        <v>11.9</v>
      </c>
      <c r="E6" t="s">
        <v>54</v>
      </c>
    </row>
    <row r="7" spans="1:5" x14ac:dyDescent="0.3">
      <c r="A7" t="s">
        <v>29</v>
      </c>
      <c r="B7" s="2">
        <v>46078.770833333343</v>
      </c>
      <c r="C7" t="s">
        <v>55</v>
      </c>
      <c r="D7">
        <v>81</v>
      </c>
      <c r="E7" t="s">
        <v>54</v>
      </c>
    </row>
    <row r="8" spans="1:5" x14ac:dyDescent="0.3">
      <c r="A8" t="s">
        <v>29</v>
      </c>
      <c r="B8" s="2">
        <v>46066.70208333333</v>
      </c>
      <c r="C8" t="s">
        <v>53</v>
      </c>
      <c r="D8">
        <v>16.399999999999999</v>
      </c>
      <c r="E8" t="s">
        <v>60</v>
      </c>
    </row>
    <row r="9" spans="1:5" x14ac:dyDescent="0.3">
      <c r="A9" t="s">
        <v>31</v>
      </c>
      <c r="B9" s="2">
        <v>46095.416666666657</v>
      </c>
      <c r="C9" t="s">
        <v>53</v>
      </c>
      <c r="D9">
        <v>54.1</v>
      </c>
      <c r="E9" t="s">
        <v>61</v>
      </c>
    </row>
    <row r="10" spans="1:5" x14ac:dyDescent="0.3">
      <c r="A10" t="s">
        <v>31</v>
      </c>
      <c r="B10" s="2">
        <v>46078.898611111108</v>
      </c>
      <c r="C10" t="s">
        <v>53</v>
      </c>
      <c r="D10">
        <v>33.6</v>
      </c>
      <c r="E10" t="s">
        <v>58</v>
      </c>
    </row>
    <row r="11" spans="1:5" x14ac:dyDescent="0.3">
      <c r="A11" t="s">
        <v>17</v>
      </c>
      <c r="B11" s="2">
        <v>46088.07916666667</v>
      </c>
      <c r="C11" t="s">
        <v>57</v>
      </c>
      <c r="D11">
        <v>44.9</v>
      </c>
      <c r="E11" t="s">
        <v>54</v>
      </c>
    </row>
    <row r="12" spans="1:5" x14ac:dyDescent="0.3">
      <c r="A12" t="s">
        <v>43</v>
      </c>
      <c r="B12" s="2">
        <v>46107.340277777781</v>
      </c>
      <c r="C12" t="s">
        <v>55</v>
      </c>
      <c r="D12">
        <v>63.8</v>
      </c>
      <c r="E12" t="s">
        <v>58</v>
      </c>
    </row>
    <row r="13" spans="1:5" x14ac:dyDescent="0.3">
      <c r="A13" t="s">
        <v>11</v>
      </c>
      <c r="B13" s="2">
        <v>46081.525000000001</v>
      </c>
      <c r="C13" t="s">
        <v>55</v>
      </c>
      <c r="D13">
        <v>22.1</v>
      </c>
      <c r="E13" t="s">
        <v>60</v>
      </c>
    </row>
    <row r="14" spans="1:5" x14ac:dyDescent="0.3">
      <c r="A14" t="s">
        <v>11</v>
      </c>
      <c r="B14" s="2">
        <v>46103.458333333343</v>
      </c>
      <c r="C14" t="s">
        <v>55</v>
      </c>
      <c r="D14">
        <v>149.69999999999999</v>
      </c>
      <c r="E14" t="s">
        <v>58</v>
      </c>
    </row>
    <row r="15" spans="1:5" x14ac:dyDescent="0.3">
      <c r="A15" t="s">
        <v>13</v>
      </c>
      <c r="B15" s="2">
        <v>46087.994444444441</v>
      </c>
      <c r="C15" t="s">
        <v>59</v>
      </c>
      <c r="D15">
        <v>103</v>
      </c>
      <c r="E15" t="s">
        <v>58</v>
      </c>
    </row>
    <row r="16" spans="1:5" x14ac:dyDescent="0.3">
      <c r="A16" t="s">
        <v>19</v>
      </c>
      <c r="B16" s="2">
        <v>46092.632638888892</v>
      </c>
      <c r="C16" t="s">
        <v>57</v>
      </c>
      <c r="D16">
        <v>59.6</v>
      </c>
      <c r="E16" t="s">
        <v>58</v>
      </c>
    </row>
    <row r="17" spans="1:5" x14ac:dyDescent="0.3">
      <c r="A17" t="s">
        <v>39</v>
      </c>
      <c r="B17" s="2">
        <v>46082.041666666657</v>
      </c>
      <c r="C17" t="s">
        <v>57</v>
      </c>
      <c r="D17">
        <v>30.1</v>
      </c>
      <c r="E17" t="s">
        <v>54</v>
      </c>
    </row>
    <row r="18" spans="1:5" x14ac:dyDescent="0.3">
      <c r="A18" t="s">
        <v>47</v>
      </c>
      <c r="B18" s="2">
        <v>46068.886805555558</v>
      </c>
      <c r="C18" t="s">
        <v>53</v>
      </c>
      <c r="D18">
        <v>39.9</v>
      </c>
      <c r="E18" t="s">
        <v>54</v>
      </c>
    </row>
    <row r="19" spans="1:5" x14ac:dyDescent="0.3">
      <c r="A19" t="s">
        <v>9</v>
      </c>
      <c r="B19" s="2">
        <v>46102.105555555558</v>
      </c>
      <c r="C19" t="s">
        <v>55</v>
      </c>
      <c r="D19">
        <v>111.9</v>
      </c>
      <c r="E19" t="s">
        <v>54</v>
      </c>
    </row>
    <row r="20" spans="1:5" x14ac:dyDescent="0.3">
      <c r="A20" t="s">
        <v>15</v>
      </c>
      <c r="B20" s="2">
        <v>46024.724999999999</v>
      </c>
      <c r="C20" t="s">
        <v>59</v>
      </c>
      <c r="D20">
        <v>91.1</v>
      </c>
      <c r="E20" t="s">
        <v>61</v>
      </c>
    </row>
    <row r="21" spans="1:5" x14ac:dyDescent="0.3">
      <c r="A21" t="s">
        <v>39</v>
      </c>
      <c r="B21" s="2">
        <v>46026.427777777782</v>
      </c>
      <c r="C21" t="s">
        <v>53</v>
      </c>
      <c r="D21">
        <v>6.8</v>
      </c>
      <c r="E21" t="s">
        <v>60</v>
      </c>
    </row>
    <row r="22" spans="1:5" x14ac:dyDescent="0.3">
      <c r="A22" t="s">
        <v>23</v>
      </c>
      <c r="B22" s="2">
        <v>46076.459027777782</v>
      </c>
      <c r="C22" t="s">
        <v>57</v>
      </c>
      <c r="D22">
        <v>53.6</v>
      </c>
      <c r="E22" t="s">
        <v>58</v>
      </c>
    </row>
    <row r="23" spans="1:5" x14ac:dyDescent="0.3">
      <c r="A23" t="s">
        <v>11</v>
      </c>
      <c r="B23" s="2">
        <v>46109.182638888888</v>
      </c>
      <c r="C23" t="s">
        <v>57</v>
      </c>
      <c r="D23">
        <v>45.9</v>
      </c>
      <c r="E23" t="s">
        <v>61</v>
      </c>
    </row>
    <row r="24" spans="1:5" x14ac:dyDescent="0.3">
      <c r="A24" t="s">
        <v>21</v>
      </c>
      <c r="B24" s="2">
        <v>46089.523611111108</v>
      </c>
      <c r="C24" t="s">
        <v>55</v>
      </c>
      <c r="D24">
        <v>39</v>
      </c>
      <c r="E24" t="s">
        <v>61</v>
      </c>
    </row>
    <row r="25" spans="1:5" x14ac:dyDescent="0.3">
      <c r="A25" t="s">
        <v>29</v>
      </c>
      <c r="B25" s="2">
        <v>46072.463888888888</v>
      </c>
      <c r="C25" t="s">
        <v>55</v>
      </c>
      <c r="D25">
        <v>87.2</v>
      </c>
      <c r="E25" t="s">
        <v>61</v>
      </c>
    </row>
    <row r="26" spans="1:5" x14ac:dyDescent="0.3">
      <c r="A26" t="s">
        <v>37</v>
      </c>
      <c r="B26" s="2">
        <v>46098.518750000003</v>
      </c>
      <c r="C26" t="s">
        <v>59</v>
      </c>
      <c r="D26">
        <v>116.4</v>
      </c>
      <c r="E26" t="s">
        <v>58</v>
      </c>
    </row>
    <row r="27" spans="1:5" x14ac:dyDescent="0.3">
      <c r="A27" t="s">
        <v>27</v>
      </c>
      <c r="B27" s="2">
        <v>46067.621527777781</v>
      </c>
      <c r="C27" t="s">
        <v>53</v>
      </c>
      <c r="D27">
        <v>21.7</v>
      </c>
      <c r="E27" t="s">
        <v>54</v>
      </c>
    </row>
    <row r="28" spans="1:5" x14ac:dyDescent="0.3">
      <c r="A28" t="s">
        <v>37</v>
      </c>
      <c r="B28" s="2">
        <v>46089.454861111109</v>
      </c>
      <c r="C28" t="s">
        <v>57</v>
      </c>
      <c r="D28">
        <v>23.9</v>
      </c>
      <c r="E28" t="s">
        <v>54</v>
      </c>
    </row>
    <row r="29" spans="1:5" x14ac:dyDescent="0.3">
      <c r="A29" t="s">
        <v>13</v>
      </c>
      <c r="B29" s="2">
        <v>46070.331250000003</v>
      </c>
      <c r="C29" t="s">
        <v>55</v>
      </c>
      <c r="D29">
        <v>32.1</v>
      </c>
      <c r="E29" t="s">
        <v>60</v>
      </c>
    </row>
    <row r="30" spans="1:5" x14ac:dyDescent="0.3">
      <c r="A30" t="s">
        <v>19</v>
      </c>
      <c r="B30" s="2">
        <v>46049.427777777782</v>
      </c>
      <c r="C30" t="s">
        <v>53</v>
      </c>
      <c r="D30">
        <v>7.4</v>
      </c>
      <c r="E30" t="s">
        <v>60</v>
      </c>
    </row>
    <row r="31" spans="1:5" x14ac:dyDescent="0.3">
      <c r="A31" t="s">
        <v>11</v>
      </c>
      <c r="B31" s="2">
        <v>46048.675000000003</v>
      </c>
      <c r="C31" t="s">
        <v>59</v>
      </c>
      <c r="D31">
        <v>45.2</v>
      </c>
      <c r="E31" t="s">
        <v>60</v>
      </c>
    </row>
    <row r="32" spans="1:5" x14ac:dyDescent="0.3">
      <c r="A32" t="s">
        <v>19</v>
      </c>
      <c r="B32" s="2">
        <v>46033.805555555547</v>
      </c>
      <c r="C32" t="s">
        <v>59</v>
      </c>
      <c r="D32">
        <v>64.3</v>
      </c>
      <c r="E32" t="s">
        <v>60</v>
      </c>
    </row>
    <row r="33" spans="1:5" x14ac:dyDescent="0.3">
      <c r="A33" t="s">
        <v>25</v>
      </c>
      <c r="B33" s="2">
        <v>46091.201388888891</v>
      </c>
      <c r="C33" t="s">
        <v>53</v>
      </c>
      <c r="D33">
        <v>32.1</v>
      </c>
      <c r="E33" t="s">
        <v>58</v>
      </c>
    </row>
    <row r="34" spans="1:5" x14ac:dyDescent="0.3">
      <c r="A34" t="s">
        <v>27</v>
      </c>
      <c r="B34" s="2">
        <v>46055.953472222223</v>
      </c>
      <c r="C34" t="s">
        <v>53</v>
      </c>
      <c r="D34">
        <v>23.7</v>
      </c>
      <c r="E34" t="s">
        <v>56</v>
      </c>
    </row>
    <row r="35" spans="1:5" x14ac:dyDescent="0.3">
      <c r="A35" t="s">
        <v>31</v>
      </c>
      <c r="B35" s="2">
        <v>46039.819444444453</v>
      </c>
      <c r="C35" t="s">
        <v>59</v>
      </c>
      <c r="D35">
        <v>136.80000000000001</v>
      </c>
      <c r="E35" t="s">
        <v>60</v>
      </c>
    </row>
    <row r="36" spans="1:5" x14ac:dyDescent="0.3">
      <c r="A36" t="s">
        <v>45</v>
      </c>
      <c r="B36" s="2">
        <v>46086.447222222218</v>
      </c>
      <c r="C36" t="s">
        <v>59</v>
      </c>
      <c r="D36">
        <v>109.9</v>
      </c>
      <c r="E36" t="s">
        <v>62</v>
      </c>
    </row>
    <row r="37" spans="1:5" x14ac:dyDescent="0.3">
      <c r="A37" t="s">
        <v>35</v>
      </c>
      <c r="B37" s="2">
        <v>46069.912499999999</v>
      </c>
      <c r="C37" t="s">
        <v>53</v>
      </c>
      <c r="D37">
        <v>22.4</v>
      </c>
      <c r="E37" t="s">
        <v>56</v>
      </c>
    </row>
    <row r="38" spans="1:5" x14ac:dyDescent="0.3">
      <c r="A38" t="s">
        <v>35</v>
      </c>
      <c r="B38" s="2">
        <v>46066.286111111112</v>
      </c>
      <c r="C38" t="s">
        <v>57</v>
      </c>
      <c r="D38">
        <v>26</v>
      </c>
      <c r="E38" t="s">
        <v>54</v>
      </c>
    </row>
    <row r="39" spans="1:5" x14ac:dyDescent="0.3">
      <c r="A39" t="s">
        <v>15</v>
      </c>
      <c r="B39" s="2">
        <v>46071.677777777782</v>
      </c>
      <c r="C39" t="s">
        <v>57</v>
      </c>
      <c r="D39">
        <v>52.1</v>
      </c>
      <c r="E39" t="s">
        <v>58</v>
      </c>
    </row>
    <row r="40" spans="1:5" x14ac:dyDescent="0.3">
      <c r="A40" t="s">
        <v>17</v>
      </c>
      <c r="B40" s="2">
        <v>46031.379861111112</v>
      </c>
      <c r="C40" t="s">
        <v>55</v>
      </c>
      <c r="D40">
        <v>85.4</v>
      </c>
      <c r="E40" t="s">
        <v>60</v>
      </c>
    </row>
    <row r="41" spans="1:5" x14ac:dyDescent="0.3">
      <c r="A41" t="s">
        <v>23</v>
      </c>
      <c r="B41" s="2">
        <v>46030.502083333333</v>
      </c>
      <c r="C41" t="s">
        <v>53</v>
      </c>
      <c r="D41">
        <v>21.4</v>
      </c>
      <c r="E41" t="s">
        <v>58</v>
      </c>
    </row>
    <row r="42" spans="1:5" x14ac:dyDescent="0.3">
      <c r="A42" t="s">
        <v>41</v>
      </c>
      <c r="B42" s="2">
        <v>46064.320138888892</v>
      </c>
      <c r="C42" t="s">
        <v>53</v>
      </c>
      <c r="D42">
        <v>19.600000000000001</v>
      </c>
      <c r="E42" t="s">
        <v>58</v>
      </c>
    </row>
    <row r="43" spans="1:5" x14ac:dyDescent="0.3">
      <c r="A43" t="s">
        <v>41</v>
      </c>
      <c r="B43" s="2">
        <v>46096.46875</v>
      </c>
      <c r="C43" t="s">
        <v>53</v>
      </c>
      <c r="D43">
        <v>32.6</v>
      </c>
      <c r="E43" t="s">
        <v>62</v>
      </c>
    </row>
    <row r="44" spans="1:5" x14ac:dyDescent="0.3">
      <c r="A44" t="s">
        <v>23</v>
      </c>
      <c r="B44" s="2">
        <v>46029.213194444441</v>
      </c>
      <c r="C44" t="s">
        <v>59</v>
      </c>
      <c r="D44">
        <v>75.7</v>
      </c>
      <c r="E44" t="s">
        <v>58</v>
      </c>
    </row>
    <row r="45" spans="1:5" x14ac:dyDescent="0.3">
      <c r="A45" t="s">
        <v>25</v>
      </c>
      <c r="B45" s="2">
        <v>46084.709722222222</v>
      </c>
      <c r="C45" t="s">
        <v>53</v>
      </c>
      <c r="D45">
        <v>59.9</v>
      </c>
      <c r="E45" t="s">
        <v>56</v>
      </c>
    </row>
    <row r="46" spans="1:5" x14ac:dyDescent="0.3">
      <c r="A46" t="s">
        <v>23</v>
      </c>
      <c r="B46" s="2">
        <v>46070.318055555559</v>
      </c>
      <c r="C46" t="s">
        <v>59</v>
      </c>
      <c r="D46">
        <v>80.2</v>
      </c>
      <c r="E46" t="s">
        <v>60</v>
      </c>
    </row>
    <row r="47" spans="1:5" x14ac:dyDescent="0.3">
      <c r="A47" t="s">
        <v>29</v>
      </c>
      <c r="B47" s="2">
        <v>46097.013888888891</v>
      </c>
      <c r="C47" t="s">
        <v>53</v>
      </c>
      <c r="D47">
        <v>17.5</v>
      </c>
      <c r="E47" t="s">
        <v>54</v>
      </c>
    </row>
    <row r="48" spans="1:5" x14ac:dyDescent="0.3">
      <c r="A48" t="s">
        <v>47</v>
      </c>
      <c r="B48" s="2">
        <v>46059.226388888892</v>
      </c>
      <c r="C48" t="s">
        <v>55</v>
      </c>
      <c r="D48">
        <v>75.2</v>
      </c>
      <c r="E48" t="s">
        <v>60</v>
      </c>
    </row>
    <row r="49" spans="1:5" x14ac:dyDescent="0.3">
      <c r="A49" t="s">
        <v>27</v>
      </c>
      <c r="B49" s="2">
        <v>46086.881944444453</v>
      </c>
      <c r="C49" t="s">
        <v>57</v>
      </c>
      <c r="D49">
        <v>7.6</v>
      </c>
      <c r="E49" t="s">
        <v>60</v>
      </c>
    </row>
    <row r="50" spans="1:5" x14ac:dyDescent="0.3">
      <c r="A50" t="s">
        <v>37</v>
      </c>
      <c r="B50" s="2">
        <v>46090.263194444437</v>
      </c>
      <c r="C50" t="s">
        <v>53</v>
      </c>
      <c r="D50">
        <v>52.6</v>
      </c>
      <c r="E50" t="s">
        <v>58</v>
      </c>
    </row>
    <row r="51" spans="1:5" x14ac:dyDescent="0.3">
      <c r="A51" t="s">
        <v>19</v>
      </c>
      <c r="B51" s="2">
        <v>46059.670138888891</v>
      </c>
      <c r="C51" t="s">
        <v>59</v>
      </c>
      <c r="D51">
        <v>77.599999999999994</v>
      </c>
      <c r="E51" t="s">
        <v>60</v>
      </c>
    </row>
    <row r="52" spans="1:5" x14ac:dyDescent="0.3">
      <c r="A52" t="s">
        <v>13</v>
      </c>
      <c r="B52" s="2">
        <v>46058.272916666669</v>
      </c>
      <c r="C52" t="s">
        <v>59</v>
      </c>
      <c r="D52">
        <v>102.6</v>
      </c>
      <c r="E52" t="s">
        <v>58</v>
      </c>
    </row>
    <row r="53" spans="1:5" x14ac:dyDescent="0.3">
      <c r="A53" t="s">
        <v>15</v>
      </c>
      <c r="B53" s="2">
        <v>46080.127083333333</v>
      </c>
      <c r="C53" t="s">
        <v>53</v>
      </c>
      <c r="D53">
        <v>46.9</v>
      </c>
      <c r="E53" t="s">
        <v>58</v>
      </c>
    </row>
    <row r="54" spans="1:5" x14ac:dyDescent="0.3">
      <c r="A54" t="s">
        <v>31</v>
      </c>
      <c r="B54" s="2">
        <v>46068.188194444447</v>
      </c>
      <c r="C54" t="s">
        <v>57</v>
      </c>
      <c r="D54">
        <v>15.7</v>
      </c>
      <c r="E54" t="s">
        <v>56</v>
      </c>
    </row>
    <row r="55" spans="1:5" x14ac:dyDescent="0.3">
      <c r="A55" t="s">
        <v>19</v>
      </c>
      <c r="B55" s="2">
        <v>46027.331944444442</v>
      </c>
      <c r="C55" t="s">
        <v>57</v>
      </c>
      <c r="D55">
        <v>9</v>
      </c>
      <c r="E55" t="s">
        <v>54</v>
      </c>
    </row>
    <row r="56" spans="1:5" x14ac:dyDescent="0.3">
      <c r="A56" t="s">
        <v>27</v>
      </c>
      <c r="B56" s="2">
        <v>46075.847222222219</v>
      </c>
      <c r="C56" t="s">
        <v>59</v>
      </c>
      <c r="D56">
        <v>25.4</v>
      </c>
      <c r="E56" t="s">
        <v>56</v>
      </c>
    </row>
    <row r="57" spans="1:5" x14ac:dyDescent="0.3">
      <c r="A57" t="s">
        <v>15</v>
      </c>
      <c r="B57" s="2">
        <v>46112.415972222218</v>
      </c>
      <c r="C57" t="s">
        <v>57</v>
      </c>
      <c r="D57">
        <v>21.7</v>
      </c>
      <c r="E57" t="s">
        <v>62</v>
      </c>
    </row>
    <row r="58" spans="1:5" x14ac:dyDescent="0.3">
      <c r="A58" t="s">
        <v>23</v>
      </c>
      <c r="B58" s="2">
        <v>46050.667361111111</v>
      </c>
      <c r="C58" t="s">
        <v>55</v>
      </c>
      <c r="D58">
        <v>122.2</v>
      </c>
      <c r="E58" t="s">
        <v>58</v>
      </c>
    </row>
    <row r="59" spans="1:5" x14ac:dyDescent="0.3">
      <c r="A59" t="s">
        <v>19</v>
      </c>
      <c r="B59" s="2">
        <v>46076.313888888893</v>
      </c>
      <c r="C59" t="s">
        <v>53</v>
      </c>
      <c r="D59">
        <v>26.5</v>
      </c>
      <c r="E59" t="s">
        <v>56</v>
      </c>
    </row>
    <row r="60" spans="1:5" x14ac:dyDescent="0.3">
      <c r="A60" t="s">
        <v>39</v>
      </c>
      <c r="B60" s="2">
        <v>46032.663194444453</v>
      </c>
      <c r="C60" t="s">
        <v>59</v>
      </c>
      <c r="D60">
        <v>57.3</v>
      </c>
      <c r="E60" t="s">
        <v>58</v>
      </c>
    </row>
    <row r="61" spans="1:5" x14ac:dyDescent="0.3">
      <c r="A61" t="s">
        <v>9</v>
      </c>
      <c r="B61" s="2">
        <v>46039.145138888889</v>
      </c>
      <c r="C61" t="s">
        <v>55</v>
      </c>
      <c r="D61">
        <v>91.7</v>
      </c>
      <c r="E61" t="s">
        <v>54</v>
      </c>
    </row>
    <row r="62" spans="1:5" x14ac:dyDescent="0.3">
      <c r="A62" t="s">
        <v>35</v>
      </c>
      <c r="B62" s="2">
        <v>46089.470833333333</v>
      </c>
      <c r="C62" t="s">
        <v>55</v>
      </c>
      <c r="D62">
        <v>47.7</v>
      </c>
      <c r="E62" t="s">
        <v>54</v>
      </c>
    </row>
    <row r="63" spans="1:5" x14ac:dyDescent="0.3">
      <c r="A63" t="s">
        <v>9</v>
      </c>
      <c r="B63" s="2">
        <v>46088.150694444441</v>
      </c>
      <c r="C63" t="s">
        <v>55</v>
      </c>
      <c r="D63">
        <v>115.7</v>
      </c>
      <c r="E63" t="s">
        <v>61</v>
      </c>
    </row>
    <row r="64" spans="1:5" x14ac:dyDescent="0.3">
      <c r="A64" t="s">
        <v>33</v>
      </c>
      <c r="B64" s="2">
        <v>46072.226388888892</v>
      </c>
      <c r="C64" t="s">
        <v>57</v>
      </c>
      <c r="D64">
        <v>53.2</v>
      </c>
      <c r="E64" t="s">
        <v>56</v>
      </c>
    </row>
    <row r="65" spans="1:5" x14ac:dyDescent="0.3">
      <c r="A65" t="s">
        <v>27</v>
      </c>
      <c r="B65" s="2">
        <v>46043.097916666673</v>
      </c>
      <c r="C65" t="s">
        <v>59</v>
      </c>
      <c r="D65">
        <v>32.799999999999997</v>
      </c>
      <c r="E65" t="s">
        <v>56</v>
      </c>
    </row>
    <row r="66" spans="1:5" x14ac:dyDescent="0.3">
      <c r="A66" t="s">
        <v>35</v>
      </c>
      <c r="B66" s="2">
        <v>46078.279166666667</v>
      </c>
      <c r="C66" t="s">
        <v>53</v>
      </c>
      <c r="D66">
        <v>8.3000000000000007</v>
      </c>
      <c r="E66" t="s">
        <v>56</v>
      </c>
    </row>
    <row r="67" spans="1:5" x14ac:dyDescent="0.3">
      <c r="A67" t="s">
        <v>9</v>
      </c>
      <c r="B67" s="2">
        <v>46082.920138888891</v>
      </c>
      <c r="C67" t="s">
        <v>57</v>
      </c>
      <c r="D67">
        <v>41.8</v>
      </c>
      <c r="E67" t="s">
        <v>62</v>
      </c>
    </row>
    <row r="68" spans="1:5" x14ac:dyDescent="0.3">
      <c r="A68" t="s">
        <v>35</v>
      </c>
      <c r="B68" s="2">
        <v>46049.302083333343</v>
      </c>
      <c r="C68" t="s">
        <v>53</v>
      </c>
      <c r="D68">
        <v>23.8</v>
      </c>
      <c r="E68" t="s">
        <v>56</v>
      </c>
    </row>
    <row r="69" spans="1:5" x14ac:dyDescent="0.3">
      <c r="A69" t="s">
        <v>11</v>
      </c>
      <c r="B69" s="2">
        <v>46109.012499999997</v>
      </c>
      <c r="C69" t="s">
        <v>55</v>
      </c>
      <c r="D69">
        <v>107</v>
      </c>
      <c r="E69" t="s">
        <v>62</v>
      </c>
    </row>
    <row r="70" spans="1:5" x14ac:dyDescent="0.3">
      <c r="A70" t="s">
        <v>19</v>
      </c>
      <c r="B70" s="2">
        <v>46030.065972222219</v>
      </c>
      <c r="C70" t="s">
        <v>59</v>
      </c>
      <c r="D70">
        <v>34.299999999999997</v>
      </c>
      <c r="E70" t="s">
        <v>56</v>
      </c>
    </row>
    <row r="71" spans="1:5" x14ac:dyDescent="0.3">
      <c r="A71" t="s">
        <v>29</v>
      </c>
      <c r="B71" s="2">
        <v>46053.190972222219</v>
      </c>
      <c r="C71" t="s">
        <v>59</v>
      </c>
      <c r="D71">
        <v>122</v>
      </c>
      <c r="E71" t="s">
        <v>60</v>
      </c>
    </row>
    <row r="72" spans="1:5" x14ac:dyDescent="0.3">
      <c r="A72" t="s">
        <v>13</v>
      </c>
      <c r="B72" s="2">
        <v>46056.565972222219</v>
      </c>
      <c r="C72" t="s">
        <v>55</v>
      </c>
      <c r="D72">
        <v>68.2</v>
      </c>
      <c r="E72" t="s">
        <v>56</v>
      </c>
    </row>
    <row r="73" spans="1:5" x14ac:dyDescent="0.3">
      <c r="A73" t="s">
        <v>15</v>
      </c>
      <c r="B73" s="2">
        <v>46027.804166666669</v>
      </c>
      <c r="C73" t="s">
        <v>55</v>
      </c>
      <c r="D73">
        <v>60.8</v>
      </c>
      <c r="E73" t="s">
        <v>54</v>
      </c>
    </row>
    <row r="74" spans="1:5" x14ac:dyDescent="0.3">
      <c r="A74" t="s">
        <v>17</v>
      </c>
      <c r="B74" s="2">
        <v>46087.02847222222</v>
      </c>
      <c r="C74" t="s">
        <v>55</v>
      </c>
      <c r="D74">
        <v>30.4</v>
      </c>
      <c r="E74" t="s">
        <v>61</v>
      </c>
    </row>
    <row r="75" spans="1:5" x14ac:dyDescent="0.3">
      <c r="A75" t="s">
        <v>37</v>
      </c>
      <c r="B75" s="2">
        <v>46101.436111111107</v>
      </c>
      <c r="C75" t="s">
        <v>59</v>
      </c>
      <c r="D75">
        <v>115.3</v>
      </c>
      <c r="E75" t="s">
        <v>61</v>
      </c>
    </row>
    <row r="76" spans="1:5" x14ac:dyDescent="0.3">
      <c r="A76" t="s">
        <v>13</v>
      </c>
      <c r="B76" s="2">
        <v>46048.527777777781</v>
      </c>
      <c r="C76" t="s">
        <v>59</v>
      </c>
      <c r="D76">
        <v>44.9</v>
      </c>
      <c r="E76" t="s">
        <v>61</v>
      </c>
    </row>
    <row r="77" spans="1:5" x14ac:dyDescent="0.3">
      <c r="A77" t="s">
        <v>17</v>
      </c>
      <c r="B77" s="2">
        <v>46077.637499999997</v>
      </c>
      <c r="C77" t="s">
        <v>57</v>
      </c>
      <c r="D77">
        <v>26.3</v>
      </c>
      <c r="E77" t="s">
        <v>62</v>
      </c>
    </row>
    <row r="78" spans="1:5" x14ac:dyDescent="0.3">
      <c r="A78" t="s">
        <v>27</v>
      </c>
      <c r="B78" s="2">
        <v>46103.881944444453</v>
      </c>
      <c r="C78" t="s">
        <v>57</v>
      </c>
      <c r="D78">
        <v>25.1</v>
      </c>
      <c r="E78" t="s">
        <v>54</v>
      </c>
    </row>
    <row r="79" spans="1:5" x14ac:dyDescent="0.3">
      <c r="A79" t="s">
        <v>25</v>
      </c>
      <c r="B79" s="2">
        <v>46100.136805555558</v>
      </c>
      <c r="C79" t="s">
        <v>59</v>
      </c>
      <c r="D79">
        <v>136.1</v>
      </c>
      <c r="E79" t="s">
        <v>54</v>
      </c>
    </row>
    <row r="80" spans="1:5" x14ac:dyDescent="0.3">
      <c r="A80" t="s">
        <v>17</v>
      </c>
      <c r="B80" s="2">
        <v>46030.349305555559</v>
      </c>
      <c r="C80" t="s">
        <v>57</v>
      </c>
      <c r="D80">
        <v>18.899999999999999</v>
      </c>
      <c r="E80" t="s">
        <v>54</v>
      </c>
    </row>
    <row r="81" spans="1:5" x14ac:dyDescent="0.3">
      <c r="A81" t="s">
        <v>45</v>
      </c>
      <c r="B81" s="2">
        <v>46056.701388888891</v>
      </c>
      <c r="C81" t="s">
        <v>59</v>
      </c>
      <c r="D81">
        <v>106.6</v>
      </c>
      <c r="E81" t="s">
        <v>54</v>
      </c>
    </row>
    <row r="82" spans="1:5" x14ac:dyDescent="0.3">
      <c r="A82" t="s">
        <v>23</v>
      </c>
      <c r="B82" s="2">
        <v>46059.871527777781</v>
      </c>
      <c r="C82" t="s">
        <v>55</v>
      </c>
      <c r="D82">
        <v>77.099999999999994</v>
      </c>
      <c r="E82" t="s">
        <v>56</v>
      </c>
    </row>
    <row r="83" spans="1:5" x14ac:dyDescent="0.3">
      <c r="A83" t="s">
        <v>27</v>
      </c>
      <c r="B83" s="2">
        <v>46034.152083333327</v>
      </c>
      <c r="C83" t="s">
        <v>59</v>
      </c>
      <c r="D83">
        <v>141.19999999999999</v>
      </c>
      <c r="E83" t="s">
        <v>58</v>
      </c>
    </row>
    <row r="84" spans="1:5" x14ac:dyDescent="0.3">
      <c r="A84" t="s">
        <v>39</v>
      </c>
      <c r="B84" s="2">
        <v>46068.882638888892</v>
      </c>
      <c r="C84" t="s">
        <v>57</v>
      </c>
      <c r="D84">
        <v>26.3</v>
      </c>
      <c r="E84" t="s">
        <v>58</v>
      </c>
    </row>
    <row r="85" spans="1:5" x14ac:dyDescent="0.3">
      <c r="A85" t="s">
        <v>33</v>
      </c>
      <c r="B85" s="2">
        <v>46053.035416666673</v>
      </c>
      <c r="C85" t="s">
        <v>53</v>
      </c>
      <c r="D85">
        <v>12.1</v>
      </c>
      <c r="E85" t="s">
        <v>54</v>
      </c>
    </row>
    <row r="86" spans="1:5" x14ac:dyDescent="0.3">
      <c r="A86" t="s">
        <v>37</v>
      </c>
      <c r="B86" s="2">
        <v>46091.351388888892</v>
      </c>
      <c r="C86" t="s">
        <v>57</v>
      </c>
      <c r="D86">
        <v>47.8</v>
      </c>
      <c r="E86" t="s">
        <v>58</v>
      </c>
    </row>
    <row r="87" spans="1:5" x14ac:dyDescent="0.3">
      <c r="A87" t="s">
        <v>29</v>
      </c>
      <c r="B87" s="2">
        <v>46031.004861111112</v>
      </c>
      <c r="C87" t="s">
        <v>53</v>
      </c>
      <c r="D87">
        <v>19.600000000000001</v>
      </c>
      <c r="E87" t="s">
        <v>54</v>
      </c>
    </row>
    <row r="88" spans="1:5" x14ac:dyDescent="0.3">
      <c r="A88" t="s">
        <v>13</v>
      </c>
      <c r="B88" s="2">
        <v>46047.388194444437</v>
      </c>
      <c r="C88" t="s">
        <v>55</v>
      </c>
      <c r="D88">
        <v>149.1</v>
      </c>
      <c r="E88" t="s">
        <v>61</v>
      </c>
    </row>
    <row r="89" spans="1:5" x14ac:dyDescent="0.3">
      <c r="A89" t="s">
        <v>25</v>
      </c>
      <c r="B89" s="2">
        <v>46062.413888888892</v>
      </c>
      <c r="C89" t="s">
        <v>57</v>
      </c>
      <c r="D89">
        <v>28.5</v>
      </c>
      <c r="E89" t="s">
        <v>58</v>
      </c>
    </row>
    <row r="90" spans="1:5" x14ac:dyDescent="0.3">
      <c r="A90" t="s">
        <v>21</v>
      </c>
      <c r="B90" s="2">
        <v>46077.121527777781</v>
      </c>
      <c r="C90" t="s">
        <v>57</v>
      </c>
      <c r="D90">
        <v>14.4</v>
      </c>
      <c r="E90" t="s">
        <v>54</v>
      </c>
    </row>
    <row r="91" spans="1:5" x14ac:dyDescent="0.3">
      <c r="A91" t="s">
        <v>13</v>
      </c>
      <c r="B91" s="2">
        <v>46051.102777777778</v>
      </c>
      <c r="C91" t="s">
        <v>57</v>
      </c>
      <c r="D91">
        <v>27</v>
      </c>
      <c r="E91" t="s">
        <v>61</v>
      </c>
    </row>
    <row r="92" spans="1:5" x14ac:dyDescent="0.3">
      <c r="A92" t="s">
        <v>15</v>
      </c>
      <c r="B92" s="2">
        <v>46091.461111111108</v>
      </c>
      <c r="C92" t="s">
        <v>57</v>
      </c>
      <c r="D92">
        <v>9.9</v>
      </c>
      <c r="E92" t="s">
        <v>54</v>
      </c>
    </row>
    <row r="93" spans="1:5" x14ac:dyDescent="0.3">
      <c r="A93" t="s">
        <v>13</v>
      </c>
      <c r="B93" s="2">
        <v>46062.917361111111</v>
      </c>
      <c r="C93" t="s">
        <v>57</v>
      </c>
      <c r="D93">
        <v>42.1</v>
      </c>
      <c r="E93" t="s">
        <v>56</v>
      </c>
    </row>
    <row r="94" spans="1:5" x14ac:dyDescent="0.3">
      <c r="A94" t="s">
        <v>31</v>
      </c>
      <c r="B94" s="2">
        <v>46035.918749999997</v>
      </c>
      <c r="C94" t="s">
        <v>53</v>
      </c>
      <c r="D94">
        <v>48.8</v>
      </c>
      <c r="E94" t="s">
        <v>58</v>
      </c>
    </row>
    <row r="95" spans="1:5" x14ac:dyDescent="0.3">
      <c r="A95" t="s">
        <v>45</v>
      </c>
      <c r="B95" s="2">
        <v>46072.445833333331</v>
      </c>
      <c r="C95" t="s">
        <v>57</v>
      </c>
      <c r="D95">
        <v>40.4</v>
      </c>
      <c r="E95" t="s">
        <v>58</v>
      </c>
    </row>
    <row r="96" spans="1:5" x14ac:dyDescent="0.3">
      <c r="A96" t="s">
        <v>15</v>
      </c>
      <c r="B96" s="2">
        <v>46107.879166666673</v>
      </c>
      <c r="C96" t="s">
        <v>59</v>
      </c>
      <c r="D96">
        <v>25.7</v>
      </c>
      <c r="E96" t="s">
        <v>56</v>
      </c>
    </row>
    <row r="97" spans="1:5" x14ac:dyDescent="0.3">
      <c r="A97" t="s">
        <v>25</v>
      </c>
      <c r="B97" s="2">
        <v>46107.763194444437</v>
      </c>
      <c r="C97" t="s">
        <v>55</v>
      </c>
      <c r="D97">
        <v>86.3</v>
      </c>
      <c r="E97" t="s">
        <v>61</v>
      </c>
    </row>
    <row r="98" spans="1:5" x14ac:dyDescent="0.3">
      <c r="A98" t="s">
        <v>47</v>
      </c>
      <c r="B98" s="2">
        <v>46059.57916666667</v>
      </c>
      <c r="C98" t="s">
        <v>57</v>
      </c>
      <c r="D98">
        <v>34.299999999999997</v>
      </c>
      <c r="E98" t="s">
        <v>61</v>
      </c>
    </row>
    <row r="99" spans="1:5" x14ac:dyDescent="0.3">
      <c r="A99" t="s">
        <v>13</v>
      </c>
      <c r="B99" s="2">
        <v>46034.038888888892</v>
      </c>
      <c r="C99" t="s">
        <v>57</v>
      </c>
      <c r="D99">
        <v>33.6</v>
      </c>
      <c r="E99" t="s">
        <v>60</v>
      </c>
    </row>
    <row r="100" spans="1:5" x14ac:dyDescent="0.3">
      <c r="A100" t="s">
        <v>45</v>
      </c>
      <c r="B100" s="2">
        <v>46035.623611111107</v>
      </c>
      <c r="C100" t="s">
        <v>57</v>
      </c>
      <c r="D100">
        <v>39.5</v>
      </c>
      <c r="E100" t="s">
        <v>60</v>
      </c>
    </row>
    <row r="101" spans="1:5" x14ac:dyDescent="0.3">
      <c r="A101" t="s">
        <v>43</v>
      </c>
      <c r="B101" s="2">
        <v>46026.470833333333</v>
      </c>
      <c r="C101" t="s">
        <v>53</v>
      </c>
      <c r="D101">
        <v>25.5</v>
      </c>
      <c r="E101" t="s">
        <v>61</v>
      </c>
    </row>
    <row r="102" spans="1:5" x14ac:dyDescent="0.3">
      <c r="A102" t="s">
        <v>29</v>
      </c>
      <c r="B102" s="2">
        <v>46091.775694444441</v>
      </c>
      <c r="C102" t="s">
        <v>55</v>
      </c>
      <c r="D102">
        <v>45.8</v>
      </c>
      <c r="E102" t="s">
        <v>54</v>
      </c>
    </row>
    <row r="103" spans="1:5" x14ac:dyDescent="0.3">
      <c r="A103" t="s">
        <v>17</v>
      </c>
      <c r="B103" s="2">
        <v>46029.754166666673</v>
      </c>
      <c r="C103" t="s">
        <v>53</v>
      </c>
      <c r="D103">
        <v>49.1</v>
      </c>
      <c r="E103" t="s">
        <v>58</v>
      </c>
    </row>
    <row r="104" spans="1:5" x14ac:dyDescent="0.3">
      <c r="A104" t="s">
        <v>37</v>
      </c>
      <c r="B104" s="2">
        <v>46036.902083333327</v>
      </c>
      <c r="C104" t="s">
        <v>59</v>
      </c>
      <c r="D104">
        <v>50.1</v>
      </c>
      <c r="E104" t="s">
        <v>58</v>
      </c>
    </row>
    <row r="105" spans="1:5" x14ac:dyDescent="0.3">
      <c r="A105" t="s">
        <v>25</v>
      </c>
      <c r="B105" s="2">
        <v>46087.90625</v>
      </c>
      <c r="C105" t="s">
        <v>59</v>
      </c>
      <c r="D105">
        <v>119.3</v>
      </c>
      <c r="E105" t="s">
        <v>58</v>
      </c>
    </row>
    <row r="106" spans="1:5" x14ac:dyDescent="0.3">
      <c r="A106" t="s">
        <v>31</v>
      </c>
      <c r="B106" s="2">
        <v>46052.868055555547</v>
      </c>
      <c r="C106" t="s">
        <v>53</v>
      </c>
      <c r="D106">
        <v>23.4</v>
      </c>
      <c r="E106" t="s">
        <v>60</v>
      </c>
    </row>
    <row r="107" spans="1:5" x14ac:dyDescent="0.3">
      <c r="A107" t="s">
        <v>15</v>
      </c>
      <c r="B107" s="2">
        <v>46106.347916666673</v>
      </c>
      <c r="C107" t="s">
        <v>53</v>
      </c>
      <c r="D107">
        <v>14.7</v>
      </c>
      <c r="E107" t="s">
        <v>54</v>
      </c>
    </row>
    <row r="108" spans="1:5" x14ac:dyDescent="0.3">
      <c r="A108" t="s">
        <v>21</v>
      </c>
      <c r="B108" s="2">
        <v>46111.697916666657</v>
      </c>
      <c r="C108" t="s">
        <v>57</v>
      </c>
      <c r="D108">
        <v>25.3</v>
      </c>
      <c r="E108" t="s">
        <v>54</v>
      </c>
    </row>
    <row r="109" spans="1:5" x14ac:dyDescent="0.3">
      <c r="A109" t="s">
        <v>25</v>
      </c>
      <c r="B109" s="2">
        <v>46041.840277777781</v>
      </c>
      <c r="C109" t="s">
        <v>53</v>
      </c>
      <c r="D109">
        <v>45.9</v>
      </c>
      <c r="E109" t="s">
        <v>56</v>
      </c>
    </row>
    <row r="110" spans="1:5" x14ac:dyDescent="0.3">
      <c r="A110" t="s">
        <v>13</v>
      </c>
      <c r="B110" s="2">
        <v>46054.695138888892</v>
      </c>
      <c r="C110" t="s">
        <v>57</v>
      </c>
      <c r="D110">
        <v>47.5</v>
      </c>
      <c r="E110" t="s">
        <v>58</v>
      </c>
    </row>
    <row r="111" spans="1:5" x14ac:dyDescent="0.3">
      <c r="A111" t="s">
        <v>31</v>
      </c>
      <c r="B111" s="2">
        <v>46108.020833333343</v>
      </c>
      <c r="C111" t="s">
        <v>57</v>
      </c>
      <c r="D111">
        <v>20.2</v>
      </c>
      <c r="E111" t="s">
        <v>61</v>
      </c>
    </row>
    <row r="112" spans="1:5" x14ac:dyDescent="0.3">
      <c r="A112" t="s">
        <v>31</v>
      </c>
      <c r="B112" s="2">
        <v>46104.593055555553</v>
      </c>
      <c r="C112" t="s">
        <v>59</v>
      </c>
      <c r="D112">
        <v>75.5</v>
      </c>
      <c r="E112" t="s">
        <v>58</v>
      </c>
    </row>
    <row r="113" spans="1:5" x14ac:dyDescent="0.3">
      <c r="A113" t="s">
        <v>39</v>
      </c>
      <c r="B113" s="2">
        <v>46063.069444444453</v>
      </c>
      <c r="C113" t="s">
        <v>53</v>
      </c>
      <c r="D113">
        <v>52.6</v>
      </c>
      <c r="E113" t="s">
        <v>61</v>
      </c>
    </row>
    <row r="114" spans="1:5" x14ac:dyDescent="0.3">
      <c r="A114" t="s">
        <v>11</v>
      </c>
      <c r="B114" s="2">
        <v>46064.603472222218</v>
      </c>
      <c r="C114" t="s">
        <v>59</v>
      </c>
      <c r="D114">
        <v>34.5</v>
      </c>
      <c r="E114" t="s">
        <v>61</v>
      </c>
    </row>
    <row r="115" spans="1:5" x14ac:dyDescent="0.3">
      <c r="A115" t="s">
        <v>17</v>
      </c>
      <c r="B115" s="2">
        <v>46069.450694444437</v>
      </c>
      <c r="C115" t="s">
        <v>57</v>
      </c>
      <c r="D115">
        <v>58.4</v>
      </c>
      <c r="E115" t="s">
        <v>60</v>
      </c>
    </row>
    <row r="116" spans="1:5" x14ac:dyDescent="0.3">
      <c r="A116" t="s">
        <v>13</v>
      </c>
      <c r="B116" s="2">
        <v>46083.992361111108</v>
      </c>
      <c r="C116" t="s">
        <v>55</v>
      </c>
      <c r="D116">
        <v>106.5</v>
      </c>
      <c r="E116" t="s">
        <v>54</v>
      </c>
    </row>
    <row r="117" spans="1:5" x14ac:dyDescent="0.3">
      <c r="A117" t="s">
        <v>37</v>
      </c>
      <c r="B117" s="2">
        <v>46039.852777777778</v>
      </c>
      <c r="C117" t="s">
        <v>57</v>
      </c>
      <c r="D117">
        <v>49.9</v>
      </c>
      <c r="E117" t="s">
        <v>58</v>
      </c>
    </row>
    <row r="118" spans="1:5" x14ac:dyDescent="0.3">
      <c r="A118" t="s">
        <v>15</v>
      </c>
      <c r="B118" s="2">
        <v>46104.015277777777</v>
      </c>
      <c r="C118" t="s">
        <v>57</v>
      </c>
      <c r="D118">
        <v>19.8</v>
      </c>
      <c r="E118" t="s">
        <v>62</v>
      </c>
    </row>
    <row r="119" spans="1:5" x14ac:dyDescent="0.3">
      <c r="A119" t="s">
        <v>13</v>
      </c>
      <c r="B119" s="2">
        <v>46062.87777777778</v>
      </c>
      <c r="C119" t="s">
        <v>55</v>
      </c>
      <c r="D119">
        <v>46.8</v>
      </c>
      <c r="E119" t="s">
        <v>54</v>
      </c>
    </row>
    <row r="120" spans="1:5" x14ac:dyDescent="0.3">
      <c r="A120" t="s">
        <v>9</v>
      </c>
      <c r="B120" s="2">
        <v>46094.189583333333</v>
      </c>
      <c r="C120" t="s">
        <v>59</v>
      </c>
      <c r="D120">
        <v>98</v>
      </c>
      <c r="E120" t="s">
        <v>60</v>
      </c>
    </row>
    <row r="121" spans="1:5" x14ac:dyDescent="0.3">
      <c r="A121" t="s">
        <v>15</v>
      </c>
      <c r="B121" s="2">
        <v>46074.938194444447</v>
      </c>
      <c r="C121" t="s">
        <v>59</v>
      </c>
      <c r="D121">
        <v>123.8</v>
      </c>
      <c r="E121" t="s">
        <v>56</v>
      </c>
    </row>
    <row r="122" spans="1:5" x14ac:dyDescent="0.3">
      <c r="A122" t="s">
        <v>17</v>
      </c>
      <c r="B122" s="2">
        <v>46052.447222222218</v>
      </c>
      <c r="C122" t="s">
        <v>53</v>
      </c>
      <c r="D122">
        <v>45.5</v>
      </c>
      <c r="E122" t="s">
        <v>54</v>
      </c>
    </row>
    <row r="123" spans="1:5" x14ac:dyDescent="0.3">
      <c r="A123" t="s">
        <v>39</v>
      </c>
      <c r="B123" s="2">
        <v>46032.480555555558</v>
      </c>
      <c r="C123" t="s">
        <v>53</v>
      </c>
      <c r="D123">
        <v>10.6</v>
      </c>
      <c r="E123" t="s">
        <v>62</v>
      </c>
    </row>
    <row r="124" spans="1:5" x14ac:dyDescent="0.3">
      <c r="A124" t="s">
        <v>11</v>
      </c>
      <c r="B124" s="2">
        <v>46111.140972222223</v>
      </c>
      <c r="C124" t="s">
        <v>57</v>
      </c>
      <c r="D124">
        <v>15.5</v>
      </c>
      <c r="E124" t="s">
        <v>54</v>
      </c>
    </row>
    <row r="125" spans="1:5" x14ac:dyDescent="0.3">
      <c r="A125" t="s">
        <v>15</v>
      </c>
      <c r="B125" s="2">
        <v>46105.873611111107</v>
      </c>
      <c r="C125" t="s">
        <v>53</v>
      </c>
      <c r="D125">
        <v>56.1</v>
      </c>
      <c r="E125" t="s">
        <v>58</v>
      </c>
    </row>
    <row r="126" spans="1:5" x14ac:dyDescent="0.3">
      <c r="A126" t="s">
        <v>35</v>
      </c>
      <c r="B126" s="2">
        <v>46028.543749999997</v>
      </c>
      <c r="C126" t="s">
        <v>59</v>
      </c>
      <c r="D126">
        <v>141.69999999999999</v>
      </c>
      <c r="E126" t="s">
        <v>60</v>
      </c>
    </row>
    <row r="127" spans="1:5" x14ac:dyDescent="0.3">
      <c r="A127" t="s">
        <v>39</v>
      </c>
      <c r="B127" s="2">
        <v>46071.972916666673</v>
      </c>
      <c r="C127" t="s">
        <v>55</v>
      </c>
      <c r="D127">
        <v>65.400000000000006</v>
      </c>
      <c r="E127" t="s">
        <v>62</v>
      </c>
    </row>
    <row r="128" spans="1:5" x14ac:dyDescent="0.3">
      <c r="A128" t="s">
        <v>45</v>
      </c>
      <c r="B128" s="2">
        <v>46046.125694444447</v>
      </c>
      <c r="C128" t="s">
        <v>53</v>
      </c>
      <c r="D128">
        <v>26.6</v>
      </c>
      <c r="E128" t="s">
        <v>62</v>
      </c>
    </row>
    <row r="129" spans="1:5" x14ac:dyDescent="0.3">
      <c r="A129" t="s">
        <v>21</v>
      </c>
      <c r="B129" s="2">
        <v>46049.388888888891</v>
      </c>
      <c r="C129" t="s">
        <v>55</v>
      </c>
      <c r="D129">
        <v>39.700000000000003</v>
      </c>
      <c r="E129" t="s">
        <v>60</v>
      </c>
    </row>
    <row r="130" spans="1:5" x14ac:dyDescent="0.3">
      <c r="A130" t="s">
        <v>43</v>
      </c>
      <c r="B130" s="2">
        <v>46069.31527777778</v>
      </c>
      <c r="C130" t="s">
        <v>59</v>
      </c>
      <c r="D130">
        <v>100</v>
      </c>
      <c r="E130" t="s">
        <v>56</v>
      </c>
    </row>
    <row r="131" spans="1:5" x14ac:dyDescent="0.3">
      <c r="A131" t="s">
        <v>33</v>
      </c>
      <c r="B131" s="2">
        <v>46065.322222222218</v>
      </c>
      <c r="C131" t="s">
        <v>53</v>
      </c>
      <c r="D131">
        <v>35.700000000000003</v>
      </c>
      <c r="E131" t="s">
        <v>62</v>
      </c>
    </row>
    <row r="132" spans="1:5" x14ac:dyDescent="0.3">
      <c r="A132" t="s">
        <v>37</v>
      </c>
      <c r="B132" s="2">
        <v>46048.604166666657</v>
      </c>
      <c r="C132" t="s">
        <v>55</v>
      </c>
      <c r="D132">
        <v>81.900000000000006</v>
      </c>
      <c r="E132" t="s">
        <v>58</v>
      </c>
    </row>
    <row r="133" spans="1:5" x14ac:dyDescent="0.3">
      <c r="A133" t="s">
        <v>35</v>
      </c>
      <c r="B133" s="2">
        <v>46057.573611111111</v>
      </c>
      <c r="C133" t="s">
        <v>55</v>
      </c>
      <c r="D133">
        <v>30.3</v>
      </c>
      <c r="E133" t="s">
        <v>58</v>
      </c>
    </row>
    <row r="134" spans="1:5" x14ac:dyDescent="0.3">
      <c r="A134" t="s">
        <v>35</v>
      </c>
      <c r="B134" s="2">
        <v>46035.82916666667</v>
      </c>
      <c r="C134" t="s">
        <v>55</v>
      </c>
      <c r="D134">
        <v>69.8</v>
      </c>
      <c r="E134" t="s">
        <v>60</v>
      </c>
    </row>
    <row r="135" spans="1:5" x14ac:dyDescent="0.3">
      <c r="A135" t="s">
        <v>45</v>
      </c>
      <c r="B135" s="2">
        <v>46090.176388888889</v>
      </c>
      <c r="C135" t="s">
        <v>59</v>
      </c>
      <c r="D135">
        <v>40.9</v>
      </c>
      <c r="E135" t="s">
        <v>58</v>
      </c>
    </row>
    <row r="136" spans="1:5" x14ac:dyDescent="0.3">
      <c r="A136" t="s">
        <v>31</v>
      </c>
      <c r="B136" s="2">
        <v>46079.902083333327</v>
      </c>
      <c r="C136" t="s">
        <v>55</v>
      </c>
      <c r="D136">
        <v>99</v>
      </c>
      <c r="E136" t="s">
        <v>62</v>
      </c>
    </row>
    <row r="137" spans="1:5" x14ac:dyDescent="0.3">
      <c r="A137" t="s">
        <v>37</v>
      </c>
      <c r="B137" s="2">
        <v>46089.331944444442</v>
      </c>
      <c r="C137" t="s">
        <v>53</v>
      </c>
      <c r="D137">
        <v>49.4</v>
      </c>
      <c r="E137" t="s">
        <v>54</v>
      </c>
    </row>
    <row r="138" spans="1:5" x14ac:dyDescent="0.3">
      <c r="A138" t="s">
        <v>41</v>
      </c>
      <c r="B138" s="2">
        <v>46072.711111111108</v>
      </c>
      <c r="C138" t="s">
        <v>55</v>
      </c>
      <c r="D138">
        <v>80.599999999999994</v>
      </c>
      <c r="E138" t="s">
        <v>61</v>
      </c>
    </row>
    <row r="139" spans="1:5" x14ac:dyDescent="0.3">
      <c r="A139" t="s">
        <v>25</v>
      </c>
      <c r="B139" s="2">
        <v>46044.488888888889</v>
      </c>
      <c r="C139" t="s">
        <v>57</v>
      </c>
      <c r="D139">
        <v>12.7</v>
      </c>
      <c r="E139" t="s">
        <v>62</v>
      </c>
    </row>
    <row r="140" spans="1:5" x14ac:dyDescent="0.3">
      <c r="A140" t="s">
        <v>15</v>
      </c>
      <c r="B140" s="2">
        <v>46042.228472222218</v>
      </c>
      <c r="C140" t="s">
        <v>55</v>
      </c>
      <c r="D140">
        <v>100.2</v>
      </c>
      <c r="E140" t="s">
        <v>60</v>
      </c>
    </row>
    <row r="141" spans="1:5" x14ac:dyDescent="0.3">
      <c r="A141" t="s">
        <v>33</v>
      </c>
      <c r="B141" s="2">
        <v>46060.275694444441</v>
      </c>
      <c r="C141" t="s">
        <v>59</v>
      </c>
      <c r="D141">
        <v>117.5</v>
      </c>
      <c r="E141" t="s">
        <v>62</v>
      </c>
    </row>
    <row r="142" spans="1:5" x14ac:dyDescent="0.3">
      <c r="A142" t="s">
        <v>33</v>
      </c>
      <c r="B142" s="2">
        <v>46101.584027777782</v>
      </c>
      <c r="C142" t="s">
        <v>57</v>
      </c>
      <c r="D142">
        <v>13.7</v>
      </c>
      <c r="E142" t="s">
        <v>62</v>
      </c>
    </row>
    <row r="143" spans="1:5" x14ac:dyDescent="0.3">
      <c r="A143" t="s">
        <v>45</v>
      </c>
      <c r="B143" s="2">
        <v>46108.222222222219</v>
      </c>
      <c r="C143" t="s">
        <v>59</v>
      </c>
      <c r="D143">
        <v>33.1</v>
      </c>
      <c r="E143" t="s">
        <v>54</v>
      </c>
    </row>
    <row r="144" spans="1:5" x14ac:dyDescent="0.3">
      <c r="A144" t="s">
        <v>17</v>
      </c>
      <c r="B144" s="2">
        <v>46050.09097222222</v>
      </c>
      <c r="C144" t="s">
        <v>53</v>
      </c>
      <c r="D144">
        <v>28.9</v>
      </c>
      <c r="E144" t="s">
        <v>54</v>
      </c>
    </row>
    <row r="145" spans="1:5" x14ac:dyDescent="0.3">
      <c r="A145" t="s">
        <v>13</v>
      </c>
      <c r="B145" s="2">
        <v>46090.068055555559</v>
      </c>
      <c r="C145" t="s">
        <v>57</v>
      </c>
      <c r="D145">
        <v>41</v>
      </c>
      <c r="E145" t="s">
        <v>58</v>
      </c>
    </row>
    <row r="146" spans="1:5" x14ac:dyDescent="0.3">
      <c r="A146" t="s">
        <v>25</v>
      </c>
      <c r="B146" s="2">
        <v>46053.888194444437</v>
      </c>
      <c r="C146" t="s">
        <v>57</v>
      </c>
      <c r="D146">
        <v>29.8</v>
      </c>
      <c r="E146" t="s">
        <v>56</v>
      </c>
    </row>
    <row r="147" spans="1:5" x14ac:dyDescent="0.3">
      <c r="A147" t="s">
        <v>41</v>
      </c>
      <c r="B147" s="2">
        <v>46070.975694444453</v>
      </c>
      <c r="C147" t="s">
        <v>59</v>
      </c>
      <c r="D147">
        <v>100</v>
      </c>
      <c r="E147" t="s">
        <v>62</v>
      </c>
    </row>
    <row r="148" spans="1:5" x14ac:dyDescent="0.3">
      <c r="A148" t="s">
        <v>15</v>
      </c>
      <c r="B148" s="2">
        <v>46078.984722222223</v>
      </c>
      <c r="C148" t="s">
        <v>57</v>
      </c>
      <c r="D148">
        <v>55.3</v>
      </c>
      <c r="E148" t="s">
        <v>56</v>
      </c>
    </row>
    <row r="149" spans="1:5" x14ac:dyDescent="0.3">
      <c r="A149" t="s">
        <v>33</v>
      </c>
      <c r="B149" s="2">
        <v>46052.407638888893</v>
      </c>
      <c r="C149" t="s">
        <v>53</v>
      </c>
      <c r="D149">
        <v>32.799999999999997</v>
      </c>
      <c r="E149" t="s">
        <v>61</v>
      </c>
    </row>
    <row r="150" spans="1:5" x14ac:dyDescent="0.3">
      <c r="A150" t="s">
        <v>41</v>
      </c>
      <c r="B150" s="2">
        <v>46112.256944444453</v>
      </c>
      <c r="C150" t="s">
        <v>57</v>
      </c>
      <c r="D150">
        <v>17.8</v>
      </c>
      <c r="E150" t="s">
        <v>61</v>
      </c>
    </row>
    <row r="151" spans="1:5" x14ac:dyDescent="0.3">
      <c r="A151" t="s">
        <v>9</v>
      </c>
      <c r="B151" s="2">
        <v>46035.402777777781</v>
      </c>
      <c r="C151" t="s">
        <v>57</v>
      </c>
      <c r="D151">
        <v>43.5</v>
      </c>
      <c r="E151" t="s">
        <v>58</v>
      </c>
    </row>
    <row r="152" spans="1:5" x14ac:dyDescent="0.3">
      <c r="A152" t="s">
        <v>39</v>
      </c>
      <c r="B152" s="2">
        <v>46052.736111111109</v>
      </c>
      <c r="C152" t="s">
        <v>57</v>
      </c>
      <c r="D152">
        <v>48.6</v>
      </c>
      <c r="E152" t="s">
        <v>58</v>
      </c>
    </row>
    <row r="153" spans="1:5" x14ac:dyDescent="0.3">
      <c r="A153" t="s">
        <v>11</v>
      </c>
      <c r="B153" s="2">
        <v>46057.357638888891</v>
      </c>
      <c r="C153" t="s">
        <v>55</v>
      </c>
      <c r="D153">
        <v>54.6</v>
      </c>
      <c r="E153" t="s">
        <v>56</v>
      </c>
    </row>
    <row r="154" spans="1:5" x14ac:dyDescent="0.3">
      <c r="A154" t="s">
        <v>45</v>
      </c>
      <c r="B154" s="2">
        <v>46049.25</v>
      </c>
      <c r="C154" t="s">
        <v>59</v>
      </c>
      <c r="D154">
        <v>73.3</v>
      </c>
      <c r="E154" t="s">
        <v>62</v>
      </c>
    </row>
    <row r="155" spans="1:5" x14ac:dyDescent="0.3">
      <c r="A155" t="s">
        <v>43</v>
      </c>
      <c r="B155" s="2">
        <v>46032.228472222218</v>
      </c>
      <c r="C155" t="s">
        <v>55</v>
      </c>
      <c r="D155">
        <v>85.6</v>
      </c>
      <c r="E155" t="s">
        <v>58</v>
      </c>
    </row>
    <row r="156" spans="1:5" x14ac:dyDescent="0.3">
      <c r="A156" t="s">
        <v>13</v>
      </c>
      <c r="B156" s="2">
        <v>46062.158333333333</v>
      </c>
      <c r="C156" t="s">
        <v>53</v>
      </c>
      <c r="D156">
        <v>40</v>
      </c>
      <c r="E156" t="s">
        <v>56</v>
      </c>
    </row>
    <row r="157" spans="1:5" x14ac:dyDescent="0.3">
      <c r="A157" t="s">
        <v>47</v>
      </c>
      <c r="B157" s="2">
        <v>46065.186111111107</v>
      </c>
      <c r="C157" t="s">
        <v>53</v>
      </c>
      <c r="D157">
        <v>51.8</v>
      </c>
      <c r="E157" t="s">
        <v>54</v>
      </c>
    </row>
    <row r="158" spans="1:5" x14ac:dyDescent="0.3">
      <c r="A158" t="s">
        <v>43</v>
      </c>
      <c r="B158" s="2">
        <v>46084.474305555559</v>
      </c>
      <c r="C158" t="s">
        <v>59</v>
      </c>
      <c r="D158">
        <v>50</v>
      </c>
      <c r="E158" t="s">
        <v>62</v>
      </c>
    </row>
    <row r="159" spans="1:5" x14ac:dyDescent="0.3">
      <c r="A159" t="s">
        <v>47</v>
      </c>
      <c r="B159" s="2">
        <v>46057.772916666669</v>
      </c>
      <c r="C159" t="s">
        <v>59</v>
      </c>
      <c r="D159">
        <v>33.5</v>
      </c>
      <c r="E159" t="s">
        <v>61</v>
      </c>
    </row>
    <row r="160" spans="1:5" x14ac:dyDescent="0.3">
      <c r="A160" t="s">
        <v>17</v>
      </c>
      <c r="B160" s="2">
        <v>46070.602777777778</v>
      </c>
      <c r="C160" t="s">
        <v>53</v>
      </c>
      <c r="D160">
        <v>13.3</v>
      </c>
      <c r="E160" t="s">
        <v>56</v>
      </c>
    </row>
    <row r="161" spans="1:5" x14ac:dyDescent="0.3">
      <c r="A161" t="s">
        <v>37</v>
      </c>
      <c r="B161" s="2">
        <v>46106.88958333333</v>
      </c>
      <c r="C161" t="s">
        <v>57</v>
      </c>
      <c r="D161">
        <v>44.7</v>
      </c>
      <c r="E161" t="s">
        <v>56</v>
      </c>
    </row>
    <row r="162" spans="1:5" x14ac:dyDescent="0.3">
      <c r="A162" t="s">
        <v>13</v>
      </c>
      <c r="B162" s="2">
        <v>46054.993750000001</v>
      </c>
      <c r="C162" t="s">
        <v>53</v>
      </c>
      <c r="D162">
        <v>25.5</v>
      </c>
      <c r="E162" t="s">
        <v>56</v>
      </c>
    </row>
    <row r="163" spans="1:5" x14ac:dyDescent="0.3">
      <c r="A163" t="s">
        <v>47</v>
      </c>
      <c r="B163" s="2">
        <v>46096.495138888888</v>
      </c>
      <c r="C163" t="s">
        <v>53</v>
      </c>
      <c r="D163">
        <v>34.4</v>
      </c>
      <c r="E163" t="s">
        <v>58</v>
      </c>
    </row>
    <row r="164" spans="1:5" x14ac:dyDescent="0.3">
      <c r="A164" t="s">
        <v>27</v>
      </c>
      <c r="B164" s="2">
        <v>46052.634722222218</v>
      </c>
      <c r="C164" t="s">
        <v>57</v>
      </c>
      <c r="D164">
        <v>13.5</v>
      </c>
      <c r="E164" t="s">
        <v>60</v>
      </c>
    </row>
    <row r="165" spans="1:5" x14ac:dyDescent="0.3">
      <c r="A165" t="s">
        <v>17</v>
      </c>
      <c r="B165" s="2">
        <v>46079.943749999999</v>
      </c>
      <c r="C165" t="s">
        <v>55</v>
      </c>
      <c r="D165">
        <v>146</v>
      </c>
      <c r="E165" t="s">
        <v>54</v>
      </c>
    </row>
    <row r="166" spans="1:5" x14ac:dyDescent="0.3">
      <c r="A166" t="s">
        <v>35</v>
      </c>
      <c r="B166" s="2">
        <v>46066.612500000003</v>
      </c>
      <c r="C166" t="s">
        <v>59</v>
      </c>
      <c r="D166">
        <v>50.9</v>
      </c>
      <c r="E166" t="s">
        <v>62</v>
      </c>
    </row>
    <row r="167" spans="1:5" x14ac:dyDescent="0.3">
      <c r="A167" t="s">
        <v>25</v>
      </c>
      <c r="B167" s="2">
        <v>46057.229861111111</v>
      </c>
      <c r="C167" t="s">
        <v>57</v>
      </c>
      <c r="D167">
        <v>41.8</v>
      </c>
      <c r="E167" t="s">
        <v>61</v>
      </c>
    </row>
    <row r="168" spans="1:5" x14ac:dyDescent="0.3">
      <c r="A168" t="s">
        <v>37</v>
      </c>
      <c r="B168" s="2">
        <v>46053.672222222223</v>
      </c>
      <c r="C168" t="s">
        <v>57</v>
      </c>
      <c r="D168">
        <v>40.4</v>
      </c>
      <c r="E168" t="s">
        <v>58</v>
      </c>
    </row>
    <row r="169" spans="1:5" x14ac:dyDescent="0.3">
      <c r="A169" t="s">
        <v>13</v>
      </c>
      <c r="B169" s="2">
        <v>46083.058333333327</v>
      </c>
      <c r="C169" t="s">
        <v>53</v>
      </c>
      <c r="D169">
        <v>19.3</v>
      </c>
      <c r="E169" t="s">
        <v>61</v>
      </c>
    </row>
    <row r="170" spans="1:5" x14ac:dyDescent="0.3">
      <c r="A170" t="s">
        <v>23</v>
      </c>
      <c r="B170" s="2">
        <v>46040.093055555553</v>
      </c>
      <c r="C170" t="s">
        <v>53</v>
      </c>
      <c r="D170">
        <v>60</v>
      </c>
      <c r="E170" t="s">
        <v>62</v>
      </c>
    </row>
    <row r="171" spans="1:5" x14ac:dyDescent="0.3">
      <c r="A171" t="s">
        <v>11</v>
      </c>
      <c r="B171" s="2">
        <v>46069.226388888892</v>
      </c>
      <c r="C171" t="s">
        <v>55</v>
      </c>
      <c r="D171">
        <v>142.30000000000001</v>
      </c>
      <c r="E171" t="s">
        <v>58</v>
      </c>
    </row>
    <row r="172" spans="1:5" x14ac:dyDescent="0.3">
      <c r="A172" t="s">
        <v>13</v>
      </c>
      <c r="B172" s="2">
        <v>46084.793055555558</v>
      </c>
      <c r="C172" t="s">
        <v>59</v>
      </c>
      <c r="D172">
        <v>51.1</v>
      </c>
      <c r="E172" t="s">
        <v>58</v>
      </c>
    </row>
    <row r="173" spans="1:5" x14ac:dyDescent="0.3">
      <c r="A173" t="s">
        <v>15</v>
      </c>
      <c r="B173" s="2">
        <v>46052.147916666669</v>
      </c>
      <c r="C173" t="s">
        <v>53</v>
      </c>
      <c r="D173">
        <v>7.2</v>
      </c>
      <c r="E173" t="s">
        <v>60</v>
      </c>
    </row>
    <row r="174" spans="1:5" x14ac:dyDescent="0.3">
      <c r="A174" t="s">
        <v>45</v>
      </c>
      <c r="B174" s="2">
        <v>46070.175000000003</v>
      </c>
      <c r="C174" t="s">
        <v>57</v>
      </c>
      <c r="D174">
        <v>6.1</v>
      </c>
      <c r="E174" t="s">
        <v>54</v>
      </c>
    </row>
    <row r="175" spans="1:5" x14ac:dyDescent="0.3">
      <c r="A175" t="s">
        <v>11</v>
      </c>
      <c r="B175" s="2">
        <v>46088.730555555558</v>
      </c>
      <c r="C175" t="s">
        <v>53</v>
      </c>
      <c r="D175">
        <v>34.6</v>
      </c>
      <c r="E175" t="s">
        <v>58</v>
      </c>
    </row>
    <row r="176" spans="1:5" x14ac:dyDescent="0.3">
      <c r="A176" t="s">
        <v>29</v>
      </c>
      <c r="B176" s="2">
        <v>46104.263888888891</v>
      </c>
      <c r="C176" t="s">
        <v>53</v>
      </c>
      <c r="D176">
        <v>49.3</v>
      </c>
      <c r="E176" t="s">
        <v>61</v>
      </c>
    </row>
    <row r="177" spans="1:5" x14ac:dyDescent="0.3">
      <c r="A177" t="s">
        <v>33</v>
      </c>
      <c r="B177" s="2">
        <v>46089.800694444442</v>
      </c>
      <c r="C177" t="s">
        <v>57</v>
      </c>
      <c r="D177">
        <v>6.9</v>
      </c>
      <c r="E177" t="s">
        <v>61</v>
      </c>
    </row>
    <row r="178" spans="1:5" x14ac:dyDescent="0.3">
      <c r="A178" t="s">
        <v>31</v>
      </c>
      <c r="B178" s="2">
        <v>46047.871527777781</v>
      </c>
      <c r="C178" t="s">
        <v>55</v>
      </c>
      <c r="D178">
        <v>56.4</v>
      </c>
      <c r="E178" t="s">
        <v>58</v>
      </c>
    </row>
    <row r="179" spans="1:5" x14ac:dyDescent="0.3">
      <c r="A179" t="s">
        <v>29</v>
      </c>
      <c r="B179" s="2">
        <v>46040.744444444441</v>
      </c>
      <c r="C179" t="s">
        <v>53</v>
      </c>
      <c r="D179">
        <v>22.6</v>
      </c>
      <c r="E179" t="s">
        <v>56</v>
      </c>
    </row>
    <row r="180" spans="1:5" x14ac:dyDescent="0.3">
      <c r="A180" t="s">
        <v>25</v>
      </c>
      <c r="B180" s="2">
        <v>46032.486111111109</v>
      </c>
      <c r="C180" t="s">
        <v>57</v>
      </c>
      <c r="D180">
        <v>57.6</v>
      </c>
      <c r="E180" t="s">
        <v>54</v>
      </c>
    </row>
    <row r="181" spans="1:5" x14ac:dyDescent="0.3">
      <c r="A181" t="s">
        <v>45</v>
      </c>
      <c r="B181" s="2">
        <v>46079.072916666657</v>
      </c>
      <c r="C181" t="s">
        <v>59</v>
      </c>
      <c r="D181">
        <v>68.099999999999994</v>
      </c>
      <c r="E181" t="s">
        <v>60</v>
      </c>
    </row>
    <row r="182" spans="1:5" x14ac:dyDescent="0.3">
      <c r="A182" t="s">
        <v>21</v>
      </c>
      <c r="B182" s="2">
        <v>46105.809027777781</v>
      </c>
      <c r="C182" t="s">
        <v>55</v>
      </c>
      <c r="D182">
        <v>105.2</v>
      </c>
      <c r="E182" t="s">
        <v>56</v>
      </c>
    </row>
    <row r="183" spans="1:5" x14ac:dyDescent="0.3">
      <c r="A183" t="s">
        <v>33</v>
      </c>
      <c r="B183" s="2">
        <v>46061.851388888892</v>
      </c>
      <c r="C183" t="s">
        <v>57</v>
      </c>
      <c r="D183">
        <v>29.4</v>
      </c>
      <c r="E183" t="s">
        <v>61</v>
      </c>
    </row>
    <row r="184" spans="1:5" x14ac:dyDescent="0.3">
      <c r="A184" t="s">
        <v>29</v>
      </c>
      <c r="B184" s="2">
        <v>46048.76458333333</v>
      </c>
      <c r="C184" t="s">
        <v>55</v>
      </c>
      <c r="D184">
        <v>139.9</v>
      </c>
      <c r="E184" t="s">
        <v>60</v>
      </c>
    </row>
    <row r="185" spans="1:5" x14ac:dyDescent="0.3">
      <c r="A185" t="s">
        <v>47</v>
      </c>
      <c r="B185" s="2">
        <v>46103.640972222223</v>
      </c>
      <c r="C185" t="s">
        <v>55</v>
      </c>
      <c r="D185">
        <v>40.6</v>
      </c>
      <c r="E185" t="s">
        <v>58</v>
      </c>
    </row>
    <row r="186" spans="1:5" x14ac:dyDescent="0.3">
      <c r="A186" t="s">
        <v>31</v>
      </c>
      <c r="B186" s="2">
        <v>46031.838888888888</v>
      </c>
      <c r="C186" t="s">
        <v>57</v>
      </c>
      <c r="D186">
        <v>40.200000000000003</v>
      </c>
      <c r="E186" t="s">
        <v>61</v>
      </c>
    </row>
    <row r="187" spans="1:5" x14ac:dyDescent="0.3">
      <c r="A187" t="s">
        <v>21</v>
      </c>
      <c r="B187" s="2">
        <v>46108.475694444453</v>
      </c>
      <c r="C187" t="s">
        <v>53</v>
      </c>
      <c r="D187">
        <v>40.4</v>
      </c>
      <c r="E187" t="s">
        <v>56</v>
      </c>
    </row>
    <row r="188" spans="1:5" x14ac:dyDescent="0.3">
      <c r="A188" t="s">
        <v>23</v>
      </c>
      <c r="B188" s="2">
        <v>46026.27847222222</v>
      </c>
      <c r="C188" t="s">
        <v>57</v>
      </c>
      <c r="D188">
        <v>14.4</v>
      </c>
      <c r="E188" t="s">
        <v>60</v>
      </c>
    </row>
    <row r="189" spans="1:5" x14ac:dyDescent="0.3">
      <c r="A189" t="s">
        <v>25</v>
      </c>
      <c r="B189" s="2">
        <v>46056.310416666667</v>
      </c>
      <c r="C189" t="s">
        <v>57</v>
      </c>
      <c r="D189">
        <v>55.5</v>
      </c>
      <c r="E189" t="s">
        <v>60</v>
      </c>
    </row>
    <row r="190" spans="1:5" x14ac:dyDescent="0.3">
      <c r="A190" t="s">
        <v>39</v>
      </c>
      <c r="B190" s="2">
        <v>46071.966666666667</v>
      </c>
      <c r="C190" t="s">
        <v>59</v>
      </c>
      <c r="D190">
        <v>28.3</v>
      </c>
      <c r="E190" t="s">
        <v>61</v>
      </c>
    </row>
    <row r="191" spans="1:5" x14ac:dyDescent="0.3">
      <c r="A191" t="s">
        <v>41</v>
      </c>
      <c r="B191" s="2">
        <v>46100.331944444442</v>
      </c>
      <c r="C191" t="s">
        <v>57</v>
      </c>
      <c r="D191">
        <v>18.600000000000001</v>
      </c>
      <c r="E191" t="s">
        <v>58</v>
      </c>
    </row>
    <row r="192" spans="1:5" x14ac:dyDescent="0.3">
      <c r="A192" t="s">
        <v>23</v>
      </c>
      <c r="B192" s="2">
        <v>46066.279861111107</v>
      </c>
      <c r="C192" t="s">
        <v>53</v>
      </c>
      <c r="D192">
        <v>26.9</v>
      </c>
      <c r="E192" t="s">
        <v>54</v>
      </c>
    </row>
    <row r="193" spans="1:5" x14ac:dyDescent="0.3">
      <c r="A193" t="s">
        <v>13</v>
      </c>
      <c r="B193" s="2">
        <v>46062.867361111108</v>
      </c>
      <c r="C193" t="s">
        <v>53</v>
      </c>
      <c r="D193">
        <v>58.8</v>
      </c>
      <c r="E193" t="s">
        <v>61</v>
      </c>
    </row>
    <row r="194" spans="1:5" x14ac:dyDescent="0.3">
      <c r="A194" t="s">
        <v>37</v>
      </c>
      <c r="B194" s="2">
        <v>46096.549305555563</v>
      </c>
      <c r="C194" t="s">
        <v>55</v>
      </c>
      <c r="D194">
        <v>49.3</v>
      </c>
      <c r="E194" t="s">
        <v>60</v>
      </c>
    </row>
    <row r="195" spans="1:5" x14ac:dyDescent="0.3">
      <c r="A195" t="s">
        <v>41</v>
      </c>
      <c r="B195" s="2">
        <v>46097.876388888893</v>
      </c>
      <c r="C195" t="s">
        <v>57</v>
      </c>
      <c r="D195">
        <v>46.7</v>
      </c>
      <c r="E195" t="s">
        <v>61</v>
      </c>
    </row>
    <row r="196" spans="1:5" x14ac:dyDescent="0.3">
      <c r="A196" t="s">
        <v>23</v>
      </c>
      <c r="B196" s="2">
        <v>46081.921527777777</v>
      </c>
      <c r="C196" t="s">
        <v>59</v>
      </c>
      <c r="D196">
        <v>84.7</v>
      </c>
      <c r="E196" t="s">
        <v>60</v>
      </c>
    </row>
    <row r="197" spans="1:5" x14ac:dyDescent="0.3">
      <c r="A197" t="s">
        <v>21</v>
      </c>
      <c r="B197" s="2">
        <v>46074.090277777781</v>
      </c>
      <c r="C197" t="s">
        <v>59</v>
      </c>
      <c r="D197">
        <v>37.200000000000003</v>
      </c>
      <c r="E197" t="s">
        <v>61</v>
      </c>
    </row>
    <row r="198" spans="1:5" x14ac:dyDescent="0.3">
      <c r="A198" t="s">
        <v>33</v>
      </c>
      <c r="B198" s="2">
        <v>46055.3</v>
      </c>
      <c r="C198" t="s">
        <v>57</v>
      </c>
      <c r="D198">
        <v>29.3</v>
      </c>
      <c r="E198" t="s">
        <v>54</v>
      </c>
    </row>
    <row r="199" spans="1:5" x14ac:dyDescent="0.3">
      <c r="A199" t="s">
        <v>11</v>
      </c>
      <c r="B199" s="2">
        <v>46087.270833333343</v>
      </c>
      <c r="C199" t="s">
        <v>55</v>
      </c>
      <c r="D199">
        <v>91.8</v>
      </c>
      <c r="E199" t="s">
        <v>61</v>
      </c>
    </row>
    <row r="200" spans="1:5" x14ac:dyDescent="0.3">
      <c r="A200" t="s">
        <v>37</v>
      </c>
      <c r="B200" s="2">
        <v>46086.979166666657</v>
      </c>
      <c r="C200" t="s">
        <v>57</v>
      </c>
      <c r="D200">
        <v>11.3</v>
      </c>
      <c r="E200" t="s">
        <v>54</v>
      </c>
    </row>
    <row r="201" spans="1:5" x14ac:dyDescent="0.3">
      <c r="A201" t="s">
        <v>35</v>
      </c>
      <c r="B201" s="2">
        <v>46031.907638888893</v>
      </c>
      <c r="C201" t="s">
        <v>55</v>
      </c>
      <c r="D201">
        <v>130.19999999999999</v>
      </c>
      <c r="E201" t="s">
        <v>61</v>
      </c>
    </row>
    <row r="202" spans="1:5" x14ac:dyDescent="0.3">
      <c r="A202" t="s">
        <v>11</v>
      </c>
      <c r="B202" s="2">
        <v>46041.609027777777</v>
      </c>
      <c r="C202" t="s">
        <v>57</v>
      </c>
      <c r="D202">
        <v>50.2</v>
      </c>
      <c r="E202" t="s">
        <v>56</v>
      </c>
    </row>
    <row r="203" spans="1:5" x14ac:dyDescent="0.3">
      <c r="A203" t="s">
        <v>19</v>
      </c>
      <c r="B203" s="2">
        <v>46051.298611111109</v>
      </c>
      <c r="C203" t="s">
        <v>59</v>
      </c>
      <c r="D203">
        <v>133.19999999999999</v>
      </c>
      <c r="E203" t="s">
        <v>62</v>
      </c>
    </row>
    <row r="204" spans="1:5" x14ac:dyDescent="0.3">
      <c r="A204" t="s">
        <v>45</v>
      </c>
      <c r="B204" s="2">
        <v>46062.135416666657</v>
      </c>
      <c r="C204" t="s">
        <v>57</v>
      </c>
      <c r="D204">
        <v>5.2</v>
      </c>
      <c r="E204" t="s">
        <v>62</v>
      </c>
    </row>
    <row r="205" spans="1:5" x14ac:dyDescent="0.3">
      <c r="A205" t="s">
        <v>17</v>
      </c>
      <c r="B205" s="2">
        <v>46069.135416666657</v>
      </c>
      <c r="C205" t="s">
        <v>55</v>
      </c>
      <c r="D205">
        <v>21.8</v>
      </c>
      <c r="E205" t="s">
        <v>54</v>
      </c>
    </row>
    <row r="206" spans="1:5" x14ac:dyDescent="0.3">
      <c r="A206" t="s">
        <v>47</v>
      </c>
      <c r="B206" s="2">
        <v>46033.905555555553</v>
      </c>
      <c r="C206" t="s">
        <v>53</v>
      </c>
      <c r="D206">
        <v>18.5</v>
      </c>
      <c r="E206" t="s">
        <v>62</v>
      </c>
    </row>
    <row r="207" spans="1:5" x14ac:dyDescent="0.3">
      <c r="A207" t="s">
        <v>35</v>
      </c>
      <c r="B207" s="2">
        <v>46102.274305555547</v>
      </c>
      <c r="C207" t="s">
        <v>53</v>
      </c>
      <c r="D207">
        <v>31.7</v>
      </c>
      <c r="E207" t="s">
        <v>54</v>
      </c>
    </row>
    <row r="208" spans="1:5" x14ac:dyDescent="0.3">
      <c r="A208" t="s">
        <v>21</v>
      </c>
      <c r="B208" s="2">
        <v>46036.164583333331</v>
      </c>
      <c r="C208" t="s">
        <v>53</v>
      </c>
      <c r="D208">
        <v>26.5</v>
      </c>
      <c r="E208" t="s">
        <v>60</v>
      </c>
    </row>
    <row r="209" spans="1:5" x14ac:dyDescent="0.3">
      <c r="A209" t="s">
        <v>31</v>
      </c>
      <c r="B209" s="2">
        <v>46024.740277777782</v>
      </c>
      <c r="C209" t="s">
        <v>57</v>
      </c>
      <c r="D209">
        <v>57.9</v>
      </c>
      <c r="E209" t="s">
        <v>61</v>
      </c>
    </row>
    <row r="210" spans="1:5" x14ac:dyDescent="0.3">
      <c r="A210" t="s">
        <v>25</v>
      </c>
      <c r="B210" s="2">
        <v>46039.95416666667</v>
      </c>
      <c r="C210" t="s">
        <v>57</v>
      </c>
      <c r="D210">
        <v>39.299999999999997</v>
      </c>
      <c r="E210" t="s">
        <v>60</v>
      </c>
    </row>
    <row r="211" spans="1:5" x14ac:dyDescent="0.3">
      <c r="A211" t="s">
        <v>29</v>
      </c>
      <c r="B211" s="2">
        <v>46056.124305555553</v>
      </c>
      <c r="C211" t="s">
        <v>53</v>
      </c>
      <c r="D211">
        <v>6</v>
      </c>
      <c r="E211" t="s">
        <v>54</v>
      </c>
    </row>
    <row r="212" spans="1:5" x14ac:dyDescent="0.3">
      <c r="A212" t="s">
        <v>47</v>
      </c>
      <c r="B212" s="2">
        <v>46087.094444444447</v>
      </c>
      <c r="C212" t="s">
        <v>53</v>
      </c>
      <c r="D212">
        <v>41.6</v>
      </c>
      <c r="E212" t="s">
        <v>61</v>
      </c>
    </row>
    <row r="213" spans="1:5" x14ac:dyDescent="0.3">
      <c r="A213" t="s">
        <v>35</v>
      </c>
      <c r="B213" s="2">
        <v>46066.130555555559</v>
      </c>
      <c r="C213" t="s">
        <v>53</v>
      </c>
      <c r="D213">
        <v>41.8</v>
      </c>
      <c r="E213" t="s">
        <v>60</v>
      </c>
    </row>
    <row r="214" spans="1:5" x14ac:dyDescent="0.3">
      <c r="A214" t="s">
        <v>13</v>
      </c>
      <c r="B214" s="2">
        <v>46099.804861111108</v>
      </c>
      <c r="C214" t="s">
        <v>55</v>
      </c>
      <c r="D214">
        <v>134.9</v>
      </c>
      <c r="E214" t="s">
        <v>61</v>
      </c>
    </row>
    <row r="215" spans="1:5" x14ac:dyDescent="0.3">
      <c r="A215" t="s">
        <v>41</v>
      </c>
      <c r="B215" s="2">
        <v>46059.216666666667</v>
      </c>
      <c r="C215" t="s">
        <v>57</v>
      </c>
      <c r="D215">
        <v>48.1</v>
      </c>
      <c r="E215" t="s">
        <v>58</v>
      </c>
    </row>
    <row r="216" spans="1:5" x14ac:dyDescent="0.3">
      <c r="A216" t="s">
        <v>23</v>
      </c>
      <c r="B216" s="2">
        <v>46032.104166666657</v>
      </c>
      <c r="C216" t="s">
        <v>57</v>
      </c>
      <c r="D216">
        <v>29.5</v>
      </c>
      <c r="E216" t="s">
        <v>56</v>
      </c>
    </row>
    <row r="217" spans="1:5" x14ac:dyDescent="0.3">
      <c r="A217" t="s">
        <v>39</v>
      </c>
      <c r="B217" s="2">
        <v>46062.44027777778</v>
      </c>
      <c r="C217" t="s">
        <v>55</v>
      </c>
      <c r="D217">
        <v>107</v>
      </c>
      <c r="E217" t="s">
        <v>60</v>
      </c>
    </row>
    <row r="218" spans="1:5" x14ac:dyDescent="0.3">
      <c r="A218" t="s">
        <v>41</v>
      </c>
      <c r="B218" s="2">
        <v>46093.959027777782</v>
      </c>
      <c r="C218" t="s">
        <v>59</v>
      </c>
      <c r="D218">
        <v>77.099999999999994</v>
      </c>
      <c r="E218" t="s">
        <v>56</v>
      </c>
    </row>
    <row r="219" spans="1:5" x14ac:dyDescent="0.3">
      <c r="A219" t="s">
        <v>25</v>
      </c>
      <c r="B219" s="2">
        <v>46084.547222222223</v>
      </c>
      <c r="C219" t="s">
        <v>53</v>
      </c>
      <c r="D219">
        <v>44.7</v>
      </c>
      <c r="E219" t="s">
        <v>54</v>
      </c>
    </row>
    <row r="220" spans="1:5" x14ac:dyDescent="0.3">
      <c r="A220" t="s">
        <v>47</v>
      </c>
      <c r="B220" s="2">
        <v>46040.295138888891</v>
      </c>
      <c r="C220" t="s">
        <v>59</v>
      </c>
      <c r="D220">
        <v>99.6</v>
      </c>
      <c r="E220" t="s">
        <v>60</v>
      </c>
    </row>
    <row r="221" spans="1:5" x14ac:dyDescent="0.3">
      <c r="A221" t="s">
        <v>29</v>
      </c>
      <c r="B221" s="2">
        <v>46066.180555555547</v>
      </c>
      <c r="C221" t="s">
        <v>53</v>
      </c>
      <c r="D221">
        <v>21.3</v>
      </c>
      <c r="E221" t="s">
        <v>56</v>
      </c>
    </row>
    <row r="222" spans="1:5" x14ac:dyDescent="0.3">
      <c r="A222" t="s">
        <v>41</v>
      </c>
      <c r="B222" s="2">
        <v>46029.684027777781</v>
      </c>
      <c r="C222" t="s">
        <v>55</v>
      </c>
      <c r="D222">
        <v>75.3</v>
      </c>
      <c r="E222" t="s">
        <v>61</v>
      </c>
    </row>
    <row r="223" spans="1:5" x14ac:dyDescent="0.3">
      <c r="A223" t="s">
        <v>21</v>
      </c>
      <c r="B223" s="2">
        <v>46056.304166666669</v>
      </c>
      <c r="C223" t="s">
        <v>53</v>
      </c>
      <c r="D223">
        <v>41.9</v>
      </c>
      <c r="E223" t="s">
        <v>56</v>
      </c>
    </row>
    <row r="224" spans="1:5" x14ac:dyDescent="0.3">
      <c r="A224" t="s">
        <v>35</v>
      </c>
      <c r="B224" s="2">
        <v>46032.259027777778</v>
      </c>
      <c r="C224" t="s">
        <v>57</v>
      </c>
      <c r="D224">
        <v>33.200000000000003</v>
      </c>
      <c r="E224" t="s">
        <v>61</v>
      </c>
    </row>
    <row r="225" spans="1:5" x14ac:dyDescent="0.3">
      <c r="A225" t="s">
        <v>29</v>
      </c>
      <c r="B225" s="2">
        <v>46039.424305555563</v>
      </c>
      <c r="C225" t="s">
        <v>55</v>
      </c>
      <c r="D225">
        <v>30.5</v>
      </c>
      <c r="E225" t="s">
        <v>62</v>
      </c>
    </row>
    <row r="226" spans="1:5" x14ac:dyDescent="0.3">
      <c r="A226" t="s">
        <v>19</v>
      </c>
      <c r="B226" s="2">
        <v>46076.994444444441</v>
      </c>
      <c r="C226" t="s">
        <v>53</v>
      </c>
      <c r="D226">
        <v>46.4</v>
      </c>
      <c r="E226" t="s">
        <v>54</v>
      </c>
    </row>
    <row r="227" spans="1:5" x14ac:dyDescent="0.3">
      <c r="A227" t="s">
        <v>29</v>
      </c>
      <c r="B227" s="2">
        <v>46087.791666666657</v>
      </c>
      <c r="C227" t="s">
        <v>57</v>
      </c>
      <c r="D227">
        <v>29.1</v>
      </c>
      <c r="E227" t="s">
        <v>56</v>
      </c>
    </row>
    <row r="228" spans="1:5" x14ac:dyDescent="0.3">
      <c r="A228" t="s">
        <v>29</v>
      </c>
      <c r="B228" s="2">
        <v>46062.40902777778</v>
      </c>
      <c r="C228" t="s">
        <v>59</v>
      </c>
      <c r="D228">
        <v>114.4</v>
      </c>
      <c r="E228" t="s">
        <v>56</v>
      </c>
    </row>
    <row r="229" spans="1:5" x14ac:dyDescent="0.3">
      <c r="A229" t="s">
        <v>35</v>
      </c>
      <c r="B229" s="2">
        <v>46051.037499999999</v>
      </c>
      <c r="C229" t="s">
        <v>59</v>
      </c>
      <c r="D229">
        <v>67.400000000000006</v>
      </c>
      <c r="E229" t="s">
        <v>56</v>
      </c>
    </row>
    <row r="230" spans="1:5" x14ac:dyDescent="0.3">
      <c r="A230" t="s">
        <v>15</v>
      </c>
      <c r="B230" s="2">
        <v>46108.75277777778</v>
      </c>
      <c r="C230" t="s">
        <v>57</v>
      </c>
      <c r="D230">
        <v>47.1</v>
      </c>
      <c r="E230" t="s">
        <v>56</v>
      </c>
    </row>
    <row r="231" spans="1:5" x14ac:dyDescent="0.3">
      <c r="A231" t="s">
        <v>27</v>
      </c>
      <c r="B231" s="2">
        <v>46093.171527777777</v>
      </c>
      <c r="C231" t="s">
        <v>57</v>
      </c>
      <c r="D231">
        <v>14.8</v>
      </c>
      <c r="E231" t="s">
        <v>60</v>
      </c>
    </row>
    <row r="232" spans="1:5" x14ac:dyDescent="0.3">
      <c r="A232" t="s">
        <v>13</v>
      </c>
      <c r="B232" s="2">
        <v>46091.666666666657</v>
      </c>
      <c r="C232" t="s">
        <v>59</v>
      </c>
      <c r="D232">
        <v>134.30000000000001</v>
      </c>
      <c r="E232" t="s">
        <v>56</v>
      </c>
    </row>
    <row r="233" spans="1:5" x14ac:dyDescent="0.3">
      <c r="A233" t="s">
        <v>35</v>
      </c>
      <c r="B233" s="2">
        <v>46084.911111111112</v>
      </c>
      <c r="C233" t="s">
        <v>55</v>
      </c>
      <c r="D233">
        <v>43.6</v>
      </c>
      <c r="E233" t="s">
        <v>58</v>
      </c>
    </row>
    <row r="234" spans="1:5" x14ac:dyDescent="0.3">
      <c r="A234" t="s">
        <v>43</v>
      </c>
      <c r="B234" s="2">
        <v>46035.037499999999</v>
      </c>
      <c r="C234" t="s">
        <v>55</v>
      </c>
      <c r="D234">
        <v>47.6</v>
      </c>
      <c r="E234" t="s">
        <v>61</v>
      </c>
    </row>
    <row r="235" spans="1:5" x14ac:dyDescent="0.3">
      <c r="A235" t="s">
        <v>39</v>
      </c>
      <c r="B235" s="2">
        <v>46099.847916666673</v>
      </c>
      <c r="C235" t="s">
        <v>59</v>
      </c>
      <c r="D235">
        <v>89.7</v>
      </c>
      <c r="E235" t="s">
        <v>56</v>
      </c>
    </row>
    <row r="236" spans="1:5" x14ac:dyDescent="0.3">
      <c r="A236" t="s">
        <v>33</v>
      </c>
      <c r="B236" s="2">
        <v>46060.229861111111</v>
      </c>
      <c r="C236" t="s">
        <v>59</v>
      </c>
      <c r="D236">
        <v>72.3</v>
      </c>
      <c r="E236" t="s">
        <v>56</v>
      </c>
    </row>
    <row r="237" spans="1:5" x14ac:dyDescent="0.3">
      <c r="A237" t="s">
        <v>23</v>
      </c>
      <c r="B237" s="2">
        <v>46101.659722222219</v>
      </c>
      <c r="C237" t="s">
        <v>53</v>
      </c>
      <c r="D237">
        <v>44.6</v>
      </c>
      <c r="E237" t="s">
        <v>56</v>
      </c>
    </row>
    <row r="238" spans="1:5" x14ac:dyDescent="0.3">
      <c r="A238" t="s">
        <v>9</v>
      </c>
      <c r="B238" s="2">
        <v>46051.770833333343</v>
      </c>
      <c r="C238" t="s">
        <v>55</v>
      </c>
      <c r="D238">
        <v>134.4</v>
      </c>
      <c r="E238" t="s">
        <v>56</v>
      </c>
    </row>
    <row r="239" spans="1:5" x14ac:dyDescent="0.3">
      <c r="A239" t="s">
        <v>17</v>
      </c>
      <c r="B239" s="2">
        <v>46108.959027777782</v>
      </c>
      <c r="C239" t="s">
        <v>57</v>
      </c>
      <c r="D239">
        <v>21.3</v>
      </c>
      <c r="E239" t="s">
        <v>61</v>
      </c>
    </row>
    <row r="240" spans="1:5" x14ac:dyDescent="0.3">
      <c r="A240" t="s">
        <v>15</v>
      </c>
      <c r="B240" s="2">
        <v>46027.952777777777</v>
      </c>
      <c r="C240" t="s">
        <v>53</v>
      </c>
      <c r="D240">
        <v>30</v>
      </c>
      <c r="E240" t="s">
        <v>56</v>
      </c>
    </row>
    <row r="241" spans="1:5" x14ac:dyDescent="0.3">
      <c r="A241" t="s">
        <v>39</v>
      </c>
      <c r="B241" s="2">
        <v>46038.774305555547</v>
      </c>
      <c r="C241" t="s">
        <v>53</v>
      </c>
      <c r="D241">
        <v>24</v>
      </c>
      <c r="E241" t="s">
        <v>61</v>
      </c>
    </row>
    <row r="242" spans="1:5" x14ac:dyDescent="0.3">
      <c r="A242" t="s">
        <v>33</v>
      </c>
      <c r="B242" s="2">
        <v>46048.051388888889</v>
      </c>
      <c r="C242" t="s">
        <v>57</v>
      </c>
      <c r="D242">
        <v>14.5</v>
      </c>
      <c r="E242" t="s">
        <v>58</v>
      </c>
    </row>
    <row r="243" spans="1:5" x14ac:dyDescent="0.3">
      <c r="A243" t="s">
        <v>29</v>
      </c>
      <c r="B243" s="2">
        <v>46107.988194444442</v>
      </c>
      <c r="C243" t="s">
        <v>57</v>
      </c>
      <c r="D243">
        <v>37.200000000000003</v>
      </c>
      <c r="E243" t="s">
        <v>54</v>
      </c>
    </row>
    <row r="244" spans="1:5" x14ac:dyDescent="0.3">
      <c r="A244" t="s">
        <v>29</v>
      </c>
      <c r="B244" s="2">
        <v>46094.352083333331</v>
      </c>
      <c r="C244" t="s">
        <v>59</v>
      </c>
      <c r="D244">
        <v>21.8</v>
      </c>
      <c r="E244" t="s">
        <v>61</v>
      </c>
    </row>
    <row r="245" spans="1:5" x14ac:dyDescent="0.3">
      <c r="A245" t="s">
        <v>39</v>
      </c>
      <c r="B245" s="2">
        <v>46075.85833333333</v>
      </c>
      <c r="C245" t="s">
        <v>55</v>
      </c>
      <c r="D245">
        <v>93.9</v>
      </c>
      <c r="E245" t="s">
        <v>58</v>
      </c>
    </row>
    <row r="246" spans="1:5" x14ac:dyDescent="0.3">
      <c r="A246" t="s">
        <v>43</v>
      </c>
      <c r="B246" s="2">
        <v>46072.199305555558</v>
      </c>
      <c r="C246" t="s">
        <v>57</v>
      </c>
      <c r="D246">
        <v>56.8</v>
      </c>
      <c r="E246" t="s">
        <v>58</v>
      </c>
    </row>
    <row r="247" spans="1:5" x14ac:dyDescent="0.3">
      <c r="A247" t="s">
        <v>11</v>
      </c>
      <c r="B247" s="2">
        <v>46069.289583333331</v>
      </c>
      <c r="C247" t="s">
        <v>59</v>
      </c>
      <c r="D247">
        <v>111.4</v>
      </c>
      <c r="E247" t="s">
        <v>54</v>
      </c>
    </row>
    <row r="248" spans="1:5" x14ac:dyDescent="0.3">
      <c r="A248" t="s">
        <v>15</v>
      </c>
      <c r="B248" s="2">
        <v>46045.820138888892</v>
      </c>
      <c r="C248" t="s">
        <v>59</v>
      </c>
      <c r="D248">
        <v>48.8</v>
      </c>
      <c r="E248" t="s">
        <v>61</v>
      </c>
    </row>
    <row r="249" spans="1:5" x14ac:dyDescent="0.3">
      <c r="A249" t="s">
        <v>17</v>
      </c>
      <c r="B249" s="2">
        <v>46098.35833333333</v>
      </c>
      <c r="C249" t="s">
        <v>57</v>
      </c>
      <c r="D249">
        <v>22</v>
      </c>
      <c r="E249" t="s">
        <v>56</v>
      </c>
    </row>
    <row r="250" spans="1:5" x14ac:dyDescent="0.3">
      <c r="A250" t="s">
        <v>31</v>
      </c>
      <c r="B250" s="2">
        <v>46084.709722222222</v>
      </c>
      <c r="C250" t="s">
        <v>55</v>
      </c>
      <c r="D250">
        <v>57.3</v>
      </c>
      <c r="E250" t="s">
        <v>58</v>
      </c>
    </row>
    <row r="251" spans="1:5" x14ac:dyDescent="0.3">
      <c r="A251" t="s">
        <v>27</v>
      </c>
      <c r="B251" s="2">
        <v>46106.106944444437</v>
      </c>
      <c r="C251" t="s">
        <v>59</v>
      </c>
      <c r="D251">
        <v>66.5</v>
      </c>
      <c r="E251" t="s">
        <v>54</v>
      </c>
    </row>
    <row r="252" spans="1:5" x14ac:dyDescent="0.3">
      <c r="A252" t="s">
        <v>47</v>
      </c>
      <c r="B252" s="2">
        <v>46032.717361111107</v>
      </c>
      <c r="C252" t="s">
        <v>59</v>
      </c>
      <c r="D252">
        <v>89.2</v>
      </c>
      <c r="E252" t="s">
        <v>60</v>
      </c>
    </row>
    <row r="253" spans="1:5" x14ac:dyDescent="0.3">
      <c r="A253" t="s">
        <v>45</v>
      </c>
      <c r="B253" s="2">
        <v>46081.668055555558</v>
      </c>
      <c r="C253" t="s">
        <v>57</v>
      </c>
      <c r="D253">
        <v>20.6</v>
      </c>
      <c r="E253" t="s">
        <v>62</v>
      </c>
    </row>
    <row r="254" spans="1:5" x14ac:dyDescent="0.3">
      <c r="A254" t="s">
        <v>13</v>
      </c>
      <c r="B254" s="2">
        <v>46076.36041666667</v>
      </c>
      <c r="C254" t="s">
        <v>57</v>
      </c>
      <c r="D254">
        <v>35.700000000000003</v>
      </c>
      <c r="E254" t="s">
        <v>56</v>
      </c>
    </row>
    <row r="255" spans="1:5" x14ac:dyDescent="0.3">
      <c r="A255" t="s">
        <v>41</v>
      </c>
      <c r="B255" s="2">
        <v>46081.552083333343</v>
      </c>
      <c r="C255" t="s">
        <v>59</v>
      </c>
      <c r="D255">
        <v>42</v>
      </c>
      <c r="E255" t="s">
        <v>62</v>
      </c>
    </row>
    <row r="256" spans="1:5" x14ac:dyDescent="0.3">
      <c r="A256" t="s">
        <v>15</v>
      </c>
      <c r="B256" s="2">
        <v>46102.627083333333</v>
      </c>
      <c r="C256" t="s">
        <v>55</v>
      </c>
      <c r="D256">
        <v>57</v>
      </c>
      <c r="E256" t="s">
        <v>61</v>
      </c>
    </row>
    <row r="257" spans="1:5" x14ac:dyDescent="0.3">
      <c r="A257" t="s">
        <v>21</v>
      </c>
      <c r="B257" s="2">
        <v>46048.630555555559</v>
      </c>
      <c r="C257" t="s">
        <v>55</v>
      </c>
      <c r="D257">
        <v>110.2</v>
      </c>
      <c r="E257" t="s">
        <v>62</v>
      </c>
    </row>
    <row r="258" spans="1:5" x14ac:dyDescent="0.3">
      <c r="A258" t="s">
        <v>23</v>
      </c>
      <c r="B258" s="2">
        <v>46093.496527777781</v>
      </c>
      <c r="C258" t="s">
        <v>59</v>
      </c>
      <c r="D258">
        <v>35.1</v>
      </c>
      <c r="E258" t="s">
        <v>61</v>
      </c>
    </row>
    <row r="259" spans="1:5" x14ac:dyDescent="0.3">
      <c r="A259" t="s">
        <v>41</v>
      </c>
      <c r="B259" s="2">
        <v>46045.427777777782</v>
      </c>
      <c r="C259" t="s">
        <v>57</v>
      </c>
      <c r="D259">
        <v>33.200000000000003</v>
      </c>
      <c r="E259" t="s">
        <v>62</v>
      </c>
    </row>
    <row r="260" spans="1:5" x14ac:dyDescent="0.3">
      <c r="A260" t="s">
        <v>19</v>
      </c>
      <c r="B260" s="2">
        <v>46083.40625</v>
      </c>
      <c r="C260" t="s">
        <v>57</v>
      </c>
      <c r="D260">
        <v>53</v>
      </c>
      <c r="E260" t="s">
        <v>62</v>
      </c>
    </row>
    <row r="261" spans="1:5" x14ac:dyDescent="0.3">
      <c r="A261" t="s">
        <v>43</v>
      </c>
      <c r="B261" s="2">
        <v>46101.496527777781</v>
      </c>
      <c r="C261" t="s">
        <v>53</v>
      </c>
      <c r="D261">
        <v>43.4</v>
      </c>
      <c r="E261" t="s">
        <v>58</v>
      </c>
    </row>
    <row r="262" spans="1:5" x14ac:dyDescent="0.3">
      <c r="A262" t="s">
        <v>43</v>
      </c>
      <c r="B262" s="2">
        <v>46030.777083333327</v>
      </c>
      <c r="C262" t="s">
        <v>59</v>
      </c>
      <c r="D262">
        <v>136.6</v>
      </c>
      <c r="E262" t="s">
        <v>60</v>
      </c>
    </row>
    <row r="263" spans="1:5" x14ac:dyDescent="0.3">
      <c r="A263" t="s">
        <v>25</v>
      </c>
      <c r="B263" s="2">
        <v>46091.415277777778</v>
      </c>
      <c r="C263" t="s">
        <v>53</v>
      </c>
      <c r="D263">
        <v>8.8000000000000007</v>
      </c>
      <c r="E263" t="s">
        <v>62</v>
      </c>
    </row>
    <row r="264" spans="1:5" x14ac:dyDescent="0.3">
      <c r="A264" t="s">
        <v>9</v>
      </c>
      <c r="B264" s="2">
        <v>46038.229861111111</v>
      </c>
      <c r="C264" t="s">
        <v>55</v>
      </c>
      <c r="D264">
        <v>38.799999999999997</v>
      </c>
      <c r="E264" t="s">
        <v>61</v>
      </c>
    </row>
    <row r="265" spans="1:5" x14ac:dyDescent="0.3">
      <c r="A265" t="s">
        <v>17</v>
      </c>
      <c r="B265" s="2">
        <v>46031.868055555547</v>
      </c>
      <c r="C265" t="s">
        <v>57</v>
      </c>
      <c r="D265">
        <v>24.6</v>
      </c>
      <c r="E265" t="s">
        <v>58</v>
      </c>
    </row>
    <row r="266" spans="1:5" x14ac:dyDescent="0.3">
      <c r="A266" t="s">
        <v>9</v>
      </c>
      <c r="B266" s="2">
        <v>46108.852083333331</v>
      </c>
      <c r="C266" t="s">
        <v>59</v>
      </c>
      <c r="D266">
        <v>111.8</v>
      </c>
      <c r="E266" t="s">
        <v>61</v>
      </c>
    </row>
    <row r="267" spans="1:5" x14ac:dyDescent="0.3">
      <c r="A267" t="s">
        <v>37</v>
      </c>
      <c r="B267" s="2">
        <v>46088.293749999997</v>
      </c>
      <c r="C267" t="s">
        <v>57</v>
      </c>
      <c r="D267">
        <v>33.799999999999997</v>
      </c>
      <c r="E267" t="s">
        <v>56</v>
      </c>
    </row>
    <row r="268" spans="1:5" x14ac:dyDescent="0.3">
      <c r="A268" t="s">
        <v>21</v>
      </c>
      <c r="B268" s="2">
        <v>46105.916666666657</v>
      </c>
      <c r="C268" t="s">
        <v>57</v>
      </c>
      <c r="D268">
        <v>47.8</v>
      </c>
      <c r="E268" t="s">
        <v>56</v>
      </c>
    </row>
    <row r="269" spans="1:5" x14ac:dyDescent="0.3">
      <c r="A269" t="s">
        <v>23</v>
      </c>
      <c r="B269" s="2">
        <v>46027.740277777782</v>
      </c>
      <c r="C269" t="s">
        <v>57</v>
      </c>
      <c r="D269">
        <v>31.3</v>
      </c>
      <c r="E269" t="s">
        <v>58</v>
      </c>
    </row>
    <row r="270" spans="1:5" x14ac:dyDescent="0.3">
      <c r="A270" t="s">
        <v>17</v>
      </c>
      <c r="B270" s="2">
        <v>46046.418749999997</v>
      </c>
      <c r="C270" t="s">
        <v>57</v>
      </c>
      <c r="D270">
        <v>28.6</v>
      </c>
      <c r="E270" t="s">
        <v>56</v>
      </c>
    </row>
    <row r="271" spans="1:5" x14ac:dyDescent="0.3">
      <c r="A271" t="s">
        <v>31</v>
      </c>
      <c r="B271" s="2">
        <v>46038.36041666667</v>
      </c>
      <c r="C271" t="s">
        <v>59</v>
      </c>
      <c r="D271">
        <v>120.2</v>
      </c>
      <c r="E271" t="s">
        <v>60</v>
      </c>
    </row>
    <row r="272" spans="1:5" x14ac:dyDescent="0.3">
      <c r="A272" t="s">
        <v>11</v>
      </c>
      <c r="B272" s="2">
        <v>46025.740277777782</v>
      </c>
      <c r="C272" t="s">
        <v>59</v>
      </c>
      <c r="D272">
        <v>65.599999999999994</v>
      </c>
      <c r="E272" t="s">
        <v>61</v>
      </c>
    </row>
    <row r="273" spans="1:5" x14ac:dyDescent="0.3">
      <c r="A273" t="s">
        <v>35</v>
      </c>
      <c r="B273" s="2">
        <v>46090.561805555553</v>
      </c>
      <c r="C273" t="s">
        <v>59</v>
      </c>
      <c r="D273">
        <v>26.8</v>
      </c>
      <c r="E273" t="s">
        <v>54</v>
      </c>
    </row>
    <row r="274" spans="1:5" x14ac:dyDescent="0.3">
      <c r="A274" t="s">
        <v>37</v>
      </c>
      <c r="B274" s="2">
        <v>46025.53402777778</v>
      </c>
      <c r="C274" t="s">
        <v>57</v>
      </c>
      <c r="D274">
        <v>16.5</v>
      </c>
      <c r="E274" t="s">
        <v>54</v>
      </c>
    </row>
    <row r="275" spans="1:5" x14ac:dyDescent="0.3">
      <c r="A275" t="s">
        <v>29</v>
      </c>
      <c r="B275" s="2">
        <v>46099.059027777781</v>
      </c>
      <c r="C275" t="s">
        <v>53</v>
      </c>
      <c r="D275">
        <v>47.9</v>
      </c>
      <c r="E275" t="s">
        <v>58</v>
      </c>
    </row>
    <row r="276" spans="1:5" x14ac:dyDescent="0.3">
      <c r="A276" t="s">
        <v>43</v>
      </c>
      <c r="B276" s="2">
        <v>46062.088888888888</v>
      </c>
      <c r="C276" t="s">
        <v>53</v>
      </c>
      <c r="D276">
        <v>31.7</v>
      </c>
      <c r="E276" t="s">
        <v>56</v>
      </c>
    </row>
    <row r="277" spans="1:5" x14ac:dyDescent="0.3">
      <c r="A277" t="s">
        <v>9</v>
      </c>
      <c r="B277" s="2">
        <v>46099.556944444441</v>
      </c>
      <c r="C277" t="s">
        <v>57</v>
      </c>
      <c r="D277">
        <v>25.9</v>
      </c>
      <c r="E277" t="s">
        <v>62</v>
      </c>
    </row>
    <row r="278" spans="1:5" x14ac:dyDescent="0.3">
      <c r="A278" t="s">
        <v>25</v>
      </c>
      <c r="B278" s="2">
        <v>46068.152777777781</v>
      </c>
      <c r="C278" t="s">
        <v>59</v>
      </c>
      <c r="D278">
        <v>118</v>
      </c>
      <c r="E278" t="s">
        <v>58</v>
      </c>
    </row>
    <row r="279" spans="1:5" x14ac:dyDescent="0.3">
      <c r="A279" t="s">
        <v>11</v>
      </c>
      <c r="B279" s="2">
        <v>46082.678472222222</v>
      </c>
      <c r="C279" t="s">
        <v>55</v>
      </c>
      <c r="D279">
        <v>61.2</v>
      </c>
      <c r="E279" t="s">
        <v>58</v>
      </c>
    </row>
    <row r="280" spans="1:5" x14ac:dyDescent="0.3">
      <c r="A280" t="s">
        <v>41</v>
      </c>
      <c r="B280" s="2">
        <v>46032.722916666673</v>
      </c>
      <c r="C280" t="s">
        <v>59</v>
      </c>
      <c r="D280">
        <v>44</v>
      </c>
      <c r="E280" t="s">
        <v>58</v>
      </c>
    </row>
    <row r="281" spans="1:5" x14ac:dyDescent="0.3">
      <c r="A281" t="s">
        <v>39</v>
      </c>
      <c r="B281" s="2">
        <v>46080.679166666669</v>
      </c>
      <c r="C281" t="s">
        <v>55</v>
      </c>
      <c r="D281">
        <v>119.5</v>
      </c>
      <c r="E281" t="s">
        <v>62</v>
      </c>
    </row>
    <row r="282" spans="1:5" x14ac:dyDescent="0.3">
      <c r="A282" t="s">
        <v>31</v>
      </c>
      <c r="B282" s="2">
        <v>46084.316666666673</v>
      </c>
      <c r="C282" t="s">
        <v>53</v>
      </c>
      <c r="D282">
        <v>23.5</v>
      </c>
      <c r="E282" t="s">
        <v>58</v>
      </c>
    </row>
    <row r="283" spans="1:5" x14ac:dyDescent="0.3">
      <c r="A283" t="s">
        <v>11</v>
      </c>
      <c r="B283" s="2">
        <v>46058.427083333343</v>
      </c>
      <c r="C283" t="s">
        <v>57</v>
      </c>
      <c r="D283">
        <v>47.3</v>
      </c>
      <c r="E283" t="s">
        <v>56</v>
      </c>
    </row>
    <row r="284" spans="1:5" x14ac:dyDescent="0.3">
      <c r="A284" t="s">
        <v>13</v>
      </c>
      <c r="B284" s="2">
        <v>46066.790972222218</v>
      </c>
      <c r="C284" t="s">
        <v>53</v>
      </c>
      <c r="D284">
        <v>44.8</v>
      </c>
      <c r="E284" t="s">
        <v>58</v>
      </c>
    </row>
    <row r="285" spans="1:5" x14ac:dyDescent="0.3">
      <c r="A285" t="s">
        <v>37</v>
      </c>
      <c r="B285" s="2">
        <v>46080.418749999997</v>
      </c>
      <c r="C285" t="s">
        <v>59</v>
      </c>
      <c r="D285">
        <v>78.900000000000006</v>
      </c>
      <c r="E285" t="s">
        <v>62</v>
      </c>
    </row>
    <row r="286" spans="1:5" x14ac:dyDescent="0.3">
      <c r="A286" t="s">
        <v>11</v>
      </c>
      <c r="B286" s="2">
        <v>46073.672222222223</v>
      </c>
      <c r="C286" t="s">
        <v>55</v>
      </c>
      <c r="D286">
        <v>43.9</v>
      </c>
      <c r="E286" t="s">
        <v>62</v>
      </c>
    </row>
    <row r="287" spans="1:5" x14ac:dyDescent="0.3">
      <c r="A287" t="s">
        <v>25</v>
      </c>
      <c r="B287" s="2">
        <v>46107.157638888893</v>
      </c>
      <c r="C287" t="s">
        <v>57</v>
      </c>
      <c r="D287">
        <v>55.1</v>
      </c>
      <c r="E287" t="s">
        <v>54</v>
      </c>
    </row>
    <row r="288" spans="1:5" x14ac:dyDescent="0.3">
      <c r="A288" t="s">
        <v>17</v>
      </c>
      <c r="B288" s="2">
        <v>46065.707638888889</v>
      </c>
      <c r="C288" t="s">
        <v>57</v>
      </c>
      <c r="D288">
        <v>38.5</v>
      </c>
      <c r="E288" t="s">
        <v>58</v>
      </c>
    </row>
    <row r="289" spans="1:5" x14ac:dyDescent="0.3">
      <c r="A289" t="s">
        <v>43</v>
      </c>
      <c r="B289" s="2">
        <v>46062.273611111108</v>
      </c>
      <c r="C289" t="s">
        <v>59</v>
      </c>
      <c r="D289">
        <v>58</v>
      </c>
      <c r="E289" t="s">
        <v>62</v>
      </c>
    </row>
    <row r="290" spans="1:5" x14ac:dyDescent="0.3">
      <c r="A290" t="s">
        <v>25</v>
      </c>
      <c r="B290" s="2">
        <v>46071.359027777777</v>
      </c>
      <c r="C290" t="s">
        <v>59</v>
      </c>
      <c r="D290">
        <v>32.6</v>
      </c>
      <c r="E290" t="s">
        <v>56</v>
      </c>
    </row>
    <row r="291" spans="1:5" x14ac:dyDescent="0.3">
      <c r="A291" t="s">
        <v>45</v>
      </c>
      <c r="B291" s="2">
        <v>46082.077777777777</v>
      </c>
      <c r="C291" t="s">
        <v>57</v>
      </c>
      <c r="D291">
        <v>12.1</v>
      </c>
      <c r="E291" t="s">
        <v>61</v>
      </c>
    </row>
    <row r="292" spans="1:5" x14ac:dyDescent="0.3">
      <c r="A292" t="s">
        <v>45</v>
      </c>
      <c r="B292" s="2">
        <v>46031.435416666667</v>
      </c>
      <c r="C292" t="s">
        <v>59</v>
      </c>
      <c r="D292">
        <v>57.7</v>
      </c>
      <c r="E292" t="s">
        <v>54</v>
      </c>
    </row>
    <row r="293" spans="1:5" x14ac:dyDescent="0.3">
      <c r="A293" t="s">
        <v>13</v>
      </c>
      <c r="B293" s="2">
        <v>46047.222916666673</v>
      </c>
      <c r="C293" t="s">
        <v>55</v>
      </c>
      <c r="D293">
        <v>114</v>
      </c>
      <c r="E293" t="s">
        <v>62</v>
      </c>
    </row>
    <row r="294" spans="1:5" x14ac:dyDescent="0.3">
      <c r="A294" t="s">
        <v>41</v>
      </c>
      <c r="B294" s="2">
        <v>46066.568749999999</v>
      </c>
      <c r="C294" t="s">
        <v>53</v>
      </c>
      <c r="D294">
        <v>19.7</v>
      </c>
      <c r="E294" t="s">
        <v>54</v>
      </c>
    </row>
    <row r="295" spans="1:5" x14ac:dyDescent="0.3">
      <c r="A295" t="s">
        <v>27</v>
      </c>
      <c r="B295" s="2">
        <v>46077.377083333333</v>
      </c>
      <c r="C295" t="s">
        <v>57</v>
      </c>
      <c r="D295">
        <v>41.8</v>
      </c>
      <c r="E295" t="s">
        <v>62</v>
      </c>
    </row>
    <row r="296" spans="1:5" x14ac:dyDescent="0.3">
      <c r="A296" t="s">
        <v>15</v>
      </c>
      <c r="B296" s="2">
        <v>46043.431250000001</v>
      </c>
      <c r="C296" t="s">
        <v>53</v>
      </c>
      <c r="D296">
        <v>12.3</v>
      </c>
      <c r="E296" t="s">
        <v>56</v>
      </c>
    </row>
    <row r="297" spans="1:5" x14ac:dyDescent="0.3">
      <c r="A297" t="s">
        <v>37</v>
      </c>
      <c r="B297" s="2">
        <v>46101.429861111108</v>
      </c>
      <c r="C297" t="s">
        <v>57</v>
      </c>
      <c r="D297">
        <v>59</v>
      </c>
      <c r="E297" t="s">
        <v>58</v>
      </c>
    </row>
    <row r="298" spans="1:5" x14ac:dyDescent="0.3">
      <c r="A298" t="s">
        <v>35</v>
      </c>
      <c r="B298" s="2">
        <v>46090.369444444441</v>
      </c>
      <c r="C298" t="s">
        <v>55</v>
      </c>
      <c r="D298">
        <v>53.1</v>
      </c>
      <c r="E298" t="s">
        <v>62</v>
      </c>
    </row>
    <row r="299" spans="1:5" x14ac:dyDescent="0.3">
      <c r="A299" t="s">
        <v>31</v>
      </c>
      <c r="B299" s="2">
        <v>46053.074305555558</v>
      </c>
      <c r="C299" t="s">
        <v>55</v>
      </c>
      <c r="D299">
        <v>107.9</v>
      </c>
      <c r="E299" t="s">
        <v>56</v>
      </c>
    </row>
    <row r="300" spans="1:5" x14ac:dyDescent="0.3">
      <c r="A300" t="s">
        <v>35</v>
      </c>
      <c r="B300" s="2">
        <v>46028.195138888892</v>
      </c>
      <c r="C300" t="s">
        <v>59</v>
      </c>
      <c r="D300">
        <v>28.8</v>
      </c>
      <c r="E300" t="s">
        <v>56</v>
      </c>
    </row>
    <row r="301" spans="1:5" x14ac:dyDescent="0.3">
      <c r="A301" t="s">
        <v>33</v>
      </c>
      <c r="B301" s="2">
        <v>46051.936805555553</v>
      </c>
      <c r="C301" t="s">
        <v>57</v>
      </c>
      <c r="D301">
        <v>10.199999999999999</v>
      </c>
      <c r="E301" t="s">
        <v>61</v>
      </c>
    </row>
    <row r="302" spans="1:5" x14ac:dyDescent="0.3">
      <c r="A302" t="s">
        <v>27</v>
      </c>
      <c r="B302" s="2">
        <v>46068.09375</v>
      </c>
      <c r="C302" t="s">
        <v>57</v>
      </c>
      <c r="D302">
        <v>48.5</v>
      </c>
      <c r="E302" t="s">
        <v>63</v>
      </c>
    </row>
    <row r="303" spans="1:5" x14ac:dyDescent="0.3">
      <c r="A303" t="s">
        <v>27</v>
      </c>
      <c r="B303" s="2">
        <v>46073.069444444453</v>
      </c>
      <c r="C303" t="s">
        <v>57</v>
      </c>
      <c r="D303">
        <v>52.1</v>
      </c>
      <c r="E303" t="s">
        <v>63</v>
      </c>
    </row>
    <row r="304" spans="1:5" x14ac:dyDescent="0.3">
      <c r="A304" t="s">
        <v>33</v>
      </c>
      <c r="B304" s="2">
        <v>46086.131944444453</v>
      </c>
      <c r="C304" t="s">
        <v>57</v>
      </c>
      <c r="D304">
        <v>44.3</v>
      </c>
      <c r="E304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BFCF-8C79-49A3-A194-7943E5FAFC40}">
  <dimension ref="A1:Y304"/>
  <sheetViews>
    <sheetView topLeftCell="E1" zoomScale="85" zoomScaleNormal="85" workbookViewId="0">
      <selection activeCell="J8" sqref="J8"/>
    </sheetView>
  </sheetViews>
  <sheetFormatPr defaultRowHeight="14.4" x14ac:dyDescent="0.3"/>
  <cols>
    <col min="1" max="1" width="9.88671875" bestFit="1" customWidth="1"/>
    <col min="2" max="2" width="18.109375" bestFit="1" customWidth="1"/>
    <col min="3" max="3" width="5.5546875" bestFit="1" customWidth="1"/>
    <col min="4" max="4" width="16.21875" bestFit="1" customWidth="1"/>
    <col min="5" max="5" width="10.21875" bestFit="1" customWidth="1"/>
    <col min="6" max="6" width="12.77734375" bestFit="1" customWidth="1"/>
    <col min="8" max="8" width="12.5546875" bestFit="1" customWidth="1"/>
    <col min="9" max="9" width="18.21875" bestFit="1" customWidth="1"/>
    <col min="10" max="10" width="20" bestFit="1" customWidth="1"/>
    <col min="11" max="11" width="16.6640625" bestFit="1" customWidth="1"/>
    <col min="12" max="13" width="6" bestFit="1" customWidth="1"/>
    <col min="14" max="14" width="7" bestFit="1" customWidth="1"/>
    <col min="15" max="15" width="10.77734375" bestFit="1" customWidth="1"/>
    <col min="16" max="16" width="13.44140625" bestFit="1" customWidth="1"/>
    <col min="17" max="17" width="18.44140625" bestFit="1" customWidth="1"/>
    <col min="18" max="18" width="19.88671875" bestFit="1" customWidth="1"/>
    <col min="19" max="19" width="26.88671875" bestFit="1" customWidth="1"/>
    <col min="20" max="543" width="19.88671875" bestFit="1" customWidth="1"/>
    <col min="544" max="544" width="24" bestFit="1" customWidth="1"/>
    <col min="545" max="545" width="24.6640625" bestFit="1" customWidth="1"/>
  </cols>
  <sheetData>
    <row r="1" spans="1:25" x14ac:dyDescent="0.3">
      <c r="A1" s="1" t="s">
        <v>0</v>
      </c>
      <c r="B1" s="1" t="s">
        <v>49</v>
      </c>
      <c r="C1" s="1" t="s">
        <v>117</v>
      </c>
      <c r="D1" s="1" t="s">
        <v>50</v>
      </c>
      <c r="E1" s="1" t="s">
        <v>51</v>
      </c>
      <c r="F1" s="1" t="s">
        <v>52</v>
      </c>
      <c r="H1" s="18" t="s">
        <v>121</v>
      </c>
      <c r="I1" s="19" t="s">
        <v>122</v>
      </c>
      <c r="J1" s="19"/>
      <c r="K1" s="19"/>
      <c r="P1" s="18" t="s">
        <v>128</v>
      </c>
      <c r="Q1" s="19" t="s">
        <v>129</v>
      </c>
      <c r="R1" s="19"/>
      <c r="S1" s="19"/>
    </row>
    <row r="2" spans="1:25" x14ac:dyDescent="0.3">
      <c r="A2" t="s">
        <v>27</v>
      </c>
      <c r="B2" s="2">
        <v>46067.621527777781</v>
      </c>
      <c r="C2" s="8">
        <f>HOUR(B2)</f>
        <v>14</v>
      </c>
      <c r="D2" t="s">
        <v>53</v>
      </c>
      <c r="E2">
        <v>21.7</v>
      </c>
      <c r="F2" t="s">
        <v>54</v>
      </c>
      <c r="H2" s="18"/>
      <c r="I2" s="19"/>
      <c r="J2" s="19"/>
      <c r="K2" s="19"/>
      <c r="P2" s="18"/>
      <c r="Q2" s="19"/>
      <c r="R2" s="19"/>
      <c r="S2" s="19"/>
    </row>
    <row r="3" spans="1:25" x14ac:dyDescent="0.3">
      <c r="A3" t="s">
        <v>27</v>
      </c>
      <c r="B3" s="2">
        <v>46055.953472222223</v>
      </c>
      <c r="C3" s="8">
        <f t="shared" ref="C3:C66" si="0">HOUR(B3)</f>
        <v>22</v>
      </c>
      <c r="D3" t="s">
        <v>53</v>
      </c>
      <c r="E3">
        <v>23.7</v>
      </c>
      <c r="F3" t="s">
        <v>56</v>
      </c>
      <c r="H3" s="3" t="s">
        <v>64</v>
      </c>
      <c r="I3" t="s">
        <v>118</v>
      </c>
      <c r="J3" t="s">
        <v>119</v>
      </c>
      <c r="K3" t="s">
        <v>120</v>
      </c>
    </row>
    <row r="4" spans="1:25" ht="27" customHeight="1" x14ac:dyDescent="0.3">
      <c r="A4" t="s">
        <v>27</v>
      </c>
      <c r="B4" s="2">
        <v>46086.881944444453</v>
      </c>
      <c r="C4" s="8">
        <f t="shared" si="0"/>
        <v>21</v>
      </c>
      <c r="D4" t="s">
        <v>57</v>
      </c>
      <c r="E4">
        <v>7.6</v>
      </c>
      <c r="F4" t="s">
        <v>60</v>
      </c>
      <c r="H4" s="4" t="s">
        <v>53</v>
      </c>
      <c r="I4">
        <v>73</v>
      </c>
      <c r="J4" s="8">
        <v>31.498630136986304</v>
      </c>
      <c r="K4">
        <v>60</v>
      </c>
      <c r="P4" s="3" t="s">
        <v>50</v>
      </c>
      <c r="Q4" t="s">
        <v>57</v>
      </c>
      <c r="S4" s="10"/>
      <c r="T4" s="10"/>
      <c r="U4" s="10"/>
      <c r="V4" s="10"/>
      <c r="W4" s="10"/>
      <c r="X4" s="10"/>
    </row>
    <row r="5" spans="1:25" x14ac:dyDescent="0.3">
      <c r="A5" t="s">
        <v>27</v>
      </c>
      <c r="B5" s="2">
        <v>46075.847222222219</v>
      </c>
      <c r="C5" s="8">
        <f t="shared" si="0"/>
        <v>20</v>
      </c>
      <c r="D5" t="s">
        <v>59</v>
      </c>
      <c r="E5">
        <v>25.4</v>
      </c>
      <c r="F5" t="s">
        <v>56</v>
      </c>
      <c r="H5" s="4" t="s">
        <v>57</v>
      </c>
      <c r="I5">
        <v>96</v>
      </c>
      <c r="J5" s="8">
        <v>32.777083333333316</v>
      </c>
      <c r="K5">
        <v>59.6</v>
      </c>
    </row>
    <row r="6" spans="1:25" x14ac:dyDescent="0.3">
      <c r="A6" t="s">
        <v>27</v>
      </c>
      <c r="B6" s="2">
        <v>46043.097916666673</v>
      </c>
      <c r="C6" s="8">
        <f t="shared" si="0"/>
        <v>2</v>
      </c>
      <c r="D6" t="s">
        <v>59</v>
      </c>
      <c r="E6">
        <v>32.799999999999997</v>
      </c>
      <c r="F6" t="s">
        <v>56</v>
      </c>
      <c r="H6" s="4" t="s">
        <v>59</v>
      </c>
      <c r="I6">
        <v>71</v>
      </c>
      <c r="J6" s="8">
        <v>77.446478873239442</v>
      </c>
      <c r="K6">
        <v>141.69999999999999</v>
      </c>
      <c r="P6" s="3" t="s">
        <v>64</v>
      </c>
      <c r="Q6" t="s">
        <v>125</v>
      </c>
      <c r="R6" s="7" t="s">
        <v>127</v>
      </c>
    </row>
    <row r="7" spans="1:25" ht="28.2" customHeight="1" x14ac:dyDescent="0.3">
      <c r="A7" t="s">
        <v>27</v>
      </c>
      <c r="B7" s="2">
        <v>46103.881944444453</v>
      </c>
      <c r="C7" s="8">
        <f t="shared" si="0"/>
        <v>21</v>
      </c>
      <c r="D7" t="s">
        <v>57</v>
      </c>
      <c r="E7">
        <v>25.1</v>
      </c>
      <c r="F7" t="s">
        <v>54</v>
      </c>
      <c r="H7" s="4" t="s">
        <v>55</v>
      </c>
      <c r="I7">
        <v>63</v>
      </c>
      <c r="J7" s="8">
        <v>80.860317460317475</v>
      </c>
      <c r="K7">
        <v>149.69999999999999</v>
      </c>
      <c r="P7" s="4" t="s">
        <v>37</v>
      </c>
      <c r="Q7">
        <v>9</v>
      </c>
      <c r="R7" s="20" t="s">
        <v>126</v>
      </c>
      <c r="S7" s="20"/>
      <c r="T7" s="20"/>
      <c r="U7" s="20"/>
      <c r="V7" s="20"/>
      <c r="W7" s="20"/>
      <c r="X7" s="10"/>
      <c r="Y7" s="10"/>
    </row>
    <row r="8" spans="1:25" x14ac:dyDescent="0.3">
      <c r="A8" t="s">
        <v>27</v>
      </c>
      <c r="B8" s="2">
        <v>46034.152083333327</v>
      </c>
      <c r="C8" s="8">
        <f t="shared" si="0"/>
        <v>3</v>
      </c>
      <c r="D8" t="s">
        <v>59</v>
      </c>
      <c r="E8">
        <v>141.19999999999999</v>
      </c>
      <c r="F8" t="s">
        <v>58</v>
      </c>
      <c r="H8" s="4" t="s">
        <v>65</v>
      </c>
      <c r="I8">
        <v>303</v>
      </c>
      <c r="J8" s="8">
        <v>52.933663366336646</v>
      </c>
      <c r="K8">
        <v>149.69999999999999</v>
      </c>
      <c r="P8" s="4" t="s">
        <v>25</v>
      </c>
      <c r="Q8">
        <v>9</v>
      </c>
    </row>
    <row r="9" spans="1:25" x14ac:dyDescent="0.3">
      <c r="A9" t="s">
        <v>27</v>
      </c>
      <c r="B9" s="2">
        <v>46052.634722222218</v>
      </c>
      <c r="C9" s="8">
        <f t="shared" si="0"/>
        <v>15</v>
      </c>
      <c r="D9" t="s">
        <v>57</v>
      </c>
      <c r="E9">
        <v>13.5</v>
      </c>
      <c r="F9" t="s">
        <v>60</v>
      </c>
      <c r="P9" s="4" t="s">
        <v>17</v>
      </c>
      <c r="Q9">
        <v>9</v>
      </c>
    </row>
    <row r="10" spans="1:25" x14ac:dyDescent="0.3">
      <c r="A10" t="s">
        <v>27</v>
      </c>
      <c r="B10" s="2">
        <v>46093.171527777777</v>
      </c>
      <c r="C10" s="8">
        <f t="shared" si="0"/>
        <v>4</v>
      </c>
      <c r="D10" t="s">
        <v>57</v>
      </c>
      <c r="E10">
        <v>14.8</v>
      </c>
      <c r="F10" t="s">
        <v>60</v>
      </c>
      <c r="P10" s="4" t="s">
        <v>33</v>
      </c>
      <c r="Q10">
        <v>8</v>
      </c>
    </row>
    <row r="11" spans="1:25" x14ac:dyDescent="0.3">
      <c r="A11" t="s">
        <v>27</v>
      </c>
      <c r="B11" s="2">
        <v>46106.106944444437</v>
      </c>
      <c r="C11" s="8">
        <f t="shared" si="0"/>
        <v>2</v>
      </c>
      <c r="D11" t="s">
        <v>59</v>
      </c>
      <c r="E11">
        <v>66.5</v>
      </c>
      <c r="F11" t="s">
        <v>54</v>
      </c>
      <c r="H11" s="18" t="s">
        <v>123</v>
      </c>
      <c r="I11" s="19" t="s">
        <v>124</v>
      </c>
      <c r="J11" s="19"/>
      <c r="K11" s="19"/>
      <c r="P11" s="4" t="s">
        <v>27</v>
      </c>
      <c r="Q11">
        <v>7</v>
      </c>
    </row>
    <row r="12" spans="1:25" x14ac:dyDescent="0.3">
      <c r="A12" t="s">
        <v>27</v>
      </c>
      <c r="B12" s="2">
        <v>46077.377083333333</v>
      </c>
      <c r="C12" s="8">
        <f t="shared" si="0"/>
        <v>9</v>
      </c>
      <c r="D12" t="s">
        <v>57</v>
      </c>
      <c r="E12">
        <v>41.8</v>
      </c>
      <c r="F12" t="s">
        <v>62</v>
      </c>
      <c r="H12" s="18"/>
      <c r="I12" s="19"/>
      <c r="J12" s="19"/>
      <c r="K12" s="19"/>
      <c r="P12" s="4" t="s">
        <v>45</v>
      </c>
      <c r="Q12">
        <v>6</v>
      </c>
    </row>
    <row r="13" spans="1:25" x14ac:dyDescent="0.3">
      <c r="A13" t="s">
        <v>27</v>
      </c>
      <c r="B13" s="2">
        <v>46068.09375</v>
      </c>
      <c r="C13" s="8">
        <f t="shared" si="0"/>
        <v>2</v>
      </c>
      <c r="D13" t="s">
        <v>57</v>
      </c>
      <c r="E13">
        <v>48.5</v>
      </c>
      <c r="F13" t="s">
        <v>63</v>
      </c>
      <c r="P13" s="4" t="s">
        <v>13</v>
      </c>
      <c r="Q13">
        <v>6</v>
      </c>
    </row>
    <row r="14" spans="1:25" x14ac:dyDescent="0.3">
      <c r="A14" t="s">
        <v>27</v>
      </c>
      <c r="B14" s="2">
        <v>46073.069444444453</v>
      </c>
      <c r="C14" s="8">
        <f t="shared" si="0"/>
        <v>1</v>
      </c>
      <c r="D14" t="s">
        <v>57</v>
      </c>
      <c r="E14">
        <v>52.1</v>
      </c>
      <c r="F14" t="s">
        <v>63</v>
      </c>
      <c r="H14" s="3" t="s">
        <v>50</v>
      </c>
      <c r="I14" t="s">
        <v>57</v>
      </c>
      <c r="P14" s="4" t="s">
        <v>15</v>
      </c>
      <c r="Q14">
        <v>6</v>
      </c>
    </row>
    <row r="15" spans="1:25" x14ac:dyDescent="0.3">
      <c r="A15" t="s">
        <v>21</v>
      </c>
      <c r="B15" s="2">
        <v>46057.117361111108</v>
      </c>
      <c r="C15" s="8">
        <f t="shared" si="0"/>
        <v>2</v>
      </c>
      <c r="D15" t="s">
        <v>53</v>
      </c>
      <c r="E15">
        <v>19.7</v>
      </c>
      <c r="F15" t="s">
        <v>54</v>
      </c>
      <c r="P15" s="4" t="s">
        <v>41</v>
      </c>
      <c r="Q15">
        <v>5</v>
      </c>
    </row>
    <row r="16" spans="1:25" x14ac:dyDescent="0.3">
      <c r="A16" t="s">
        <v>21</v>
      </c>
      <c r="B16" s="2">
        <v>46089.523611111108</v>
      </c>
      <c r="C16" s="8">
        <f t="shared" si="0"/>
        <v>12</v>
      </c>
      <c r="D16" t="s">
        <v>55</v>
      </c>
      <c r="E16">
        <v>39</v>
      </c>
      <c r="F16" t="s">
        <v>61</v>
      </c>
      <c r="H16" s="3" t="s">
        <v>64</v>
      </c>
      <c r="I16" t="s">
        <v>118</v>
      </c>
      <c r="P16" s="4" t="s">
        <v>9</v>
      </c>
      <c r="Q16">
        <v>4</v>
      </c>
    </row>
    <row r="17" spans="1:17" x14ac:dyDescent="0.3">
      <c r="A17" t="s">
        <v>21</v>
      </c>
      <c r="B17" s="2">
        <v>46077.121527777781</v>
      </c>
      <c r="C17" s="8">
        <f t="shared" si="0"/>
        <v>2</v>
      </c>
      <c r="D17" t="s">
        <v>57</v>
      </c>
      <c r="E17">
        <v>14.4</v>
      </c>
      <c r="F17" t="s">
        <v>54</v>
      </c>
      <c r="H17" s="17">
        <v>0</v>
      </c>
      <c r="I17">
        <v>3</v>
      </c>
      <c r="P17" s="4" t="s">
        <v>11</v>
      </c>
      <c r="Q17">
        <v>4</v>
      </c>
    </row>
    <row r="18" spans="1:17" x14ac:dyDescent="0.3">
      <c r="A18" t="s">
        <v>21</v>
      </c>
      <c r="B18" s="2">
        <v>46111.697916666657</v>
      </c>
      <c r="C18" s="8">
        <f t="shared" si="0"/>
        <v>16</v>
      </c>
      <c r="D18" t="s">
        <v>57</v>
      </c>
      <c r="E18">
        <v>25.3</v>
      </c>
      <c r="F18" t="s">
        <v>54</v>
      </c>
      <c r="H18" s="17">
        <v>1</v>
      </c>
      <c r="I18">
        <v>6</v>
      </c>
      <c r="P18" s="4" t="s">
        <v>31</v>
      </c>
      <c r="Q18">
        <v>4</v>
      </c>
    </row>
    <row r="19" spans="1:17" x14ac:dyDescent="0.3">
      <c r="A19" t="s">
        <v>21</v>
      </c>
      <c r="B19" s="2">
        <v>46049.388888888891</v>
      </c>
      <c r="C19" s="8">
        <f t="shared" si="0"/>
        <v>9</v>
      </c>
      <c r="D19" t="s">
        <v>55</v>
      </c>
      <c r="E19">
        <v>39.700000000000003</v>
      </c>
      <c r="F19" t="s">
        <v>60</v>
      </c>
      <c r="H19" s="17">
        <v>2</v>
      </c>
      <c r="I19">
        <v>5</v>
      </c>
      <c r="P19" s="4" t="s">
        <v>23</v>
      </c>
      <c r="Q19">
        <v>4</v>
      </c>
    </row>
    <row r="20" spans="1:17" x14ac:dyDescent="0.3">
      <c r="A20" t="s">
        <v>21</v>
      </c>
      <c r="B20" s="2">
        <v>46105.809027777781</v>
      </c>
      <c r="C20" s="8">
        <f t="shared" si="0"/>
        <v>19</v>
      </c>
      <c r="D20" t="s">
        <v>55</v>
      </c>
      <c r="E20">
        <v>105.2</v>
      </c>
      <c r="F20" t="s">
        <v>56</v>
      </c>
      <c r="H20" s="17">
        <v>3</v>
      </c>
      <c r="I20">
        <v>4</v>
      </c>
      <c r="P20" s="4" t="s">
        <v>21</v>
      </c>
      <c r="Q20">
        <v>3</v>
      </c>
    </row>
    <row r="21" spans="1:17" x14ac:dyDescent="0.3">
      <c r="A21" t="s">
        <v>21</v>
      </c>
      <c r="B21" s="2">
        <v>46108.475694444453</v>
      </c>
      <c r="C21" s="8">
        <f t="shared" si="0"/>
        <v>11</v>
      </c>
      <c r="D21" t="s">
        <v>53</v>
      </c>
      <c r="E21">
        <v>40.4</v>
      </c>
      <c r="F21" t="s">
        <v>56</v>
      </c>
      <c r="H21" s="17">
        <v>4</v>
      </c>
      <c r="I21">
        <v>5</v>
      </c>
      <c r="P21" s="4" t="s">
        <v>39</v>
      </c>
      <c r="Q21">
        <v>3</v>
      </c>
    </row>
    <row r="22" spans="1:17" x14ac:dyDescent="0.3">
      <c r="A22" t="s">
        <v>21</v>
      </c>
      <c r="B22" s="2">
        <v>46074.090277777781</v>
      </c>
      <c r="C22" s="8">
        <f t="shared" si="0"/>
        <v>2</v>
      </c>
      <c r="D22" t="s">
        <v>59</v>
      </c>
      <c r="E22">
        <v>37.200000000000003</v>
      </c>
      <c r="F22" t="s">
        <v>61</v>
      </c>
      <c r="H22" s="17">
        <v>5</v>
      </c>
      <c r="I22">
        <v>3</v>
      </c>
      <c r="P22" s="4" t="s">
        <v>19</v>
      </c>
      <c r="Q22">
        <v>3</v>
      </c>
    </row>
    <row r="23" spans="1:17" x14ac:dyDescent="0.3">
      <c r="A23" t="s">
        <v>21</v>
      </c>
      <c r="B23" s="2">
        <v>46036.164583333331</v>
      </c>
      <c r="C23" s="8">
        <f t="shared" si="0"/>
        <v>3</v>
      </c>
      <c r="D23" t="s">
        <v>53</v>
      </c>
      <c r="E23">
        <v>26.5</v>
      </c>
      <c r="F23" t="s">
        <v>60</v>
      </c>
      <c r="H23" s="17">
        <v>6</v>
      </c>
      <c r="I23">
        <v>4</v>
      </c>
      <c r="P23" s="4" t="s">
        <v>35</v>
      </c>
      <c r="Q23">
        <v>2</v>
      </c>
    </row>
    <row r="24" spans="1:17" x14ac:dyDescent="0.3">
      <c r="A24" t="s">
        <v>21</v>
      </c>
      <c r="B24" s="2">
        <v>46056.304166666669</v>
      </c>
      <c r="C24" s="8">
        <f t="shared" si="0"/>
        <v>7</v>
      </c>
      <c r="D24" t="s">
        <v>53</v>
      </c>
      <c r="E24">
        <v>41.9</v>
      </c>
      <c r="F24" t="s">
        <v>56</v>
      </c>
      <c r="H24" s="17">
        <v>7</v>
      </c>
      <c r="I24">
        <v>5</v>
      </c>
      <c r="P24" s="4" t="s">
        <v>29</v>
      </c>
      <c r="Q24">
        <v>2</v>
      </c>
    </row>
    <row r="25" spans="1:17" x14ac:dyDescent="0.3">
      <c r="A25" t="s">
        <v>21</v>
      </c>
      <c r="B25" s="2">
        <v>46048.630555555559</v>
      </c>
      <c r="C25" s="8">
        <f t="shared" si="0"/>
        <v>15</v>
      </c>
      <c r="D25" t="s">
        <v>55</v>
      </c>
      <c r="E25">
        <v>110.2</v>
      </c>
      <c r="F25" t="s">
        <v>62</v>
      </c>
      <c r="H25" s="17">
        <v>8</v>
      </c>
      <c r="I25">
        <v>4</v>
      </c>
      <c r="P25" s="4" t="s">
        <v>47</v>
      </c>
      <c r="Q25">
        <v>1</v>
      </c>
    </row>
    <row r="26" spans="1:17" x14ac:dyDescent="0.3">
      <c r="A26" t="s">
        <v>21</v>
      </c>
      <c r="B26" s="2">
        <v>46105.916666666657</v>
      </c>
      <c r="C26" s="8">
        <f t="shared" si="0"/>
        <v>22</v>
      </c>
      <c r="D26" t="s">
        <v>57</v>
      </c>
      <c r="E26">
        <v>47.8</v>
      </c>
      <c r="F26" t="s">
        <v>56</v>
      </c>
      <c r="H26" s="17">
        <v>9</v>
      </c>
      <c r="I26">
        <v>5</v>
      </c>
      <c r="P26" s="4" t="s">
        <v>43</v>
      </c>
      <c r="Q26">
        <v>1</v>
      </c>
    </row>
    <row r="27" spans="1:17" x14ac:dyDescent="0.3">
      <c r="A27" t="s">
        <v>11</v>
      </c>
      <c r="B27" s="2">
        <v>46099.50277777778</v>
      </c>
      <c r="C27" s="8">
        <f t="shared" si="0"/>
        <v>12</v>
      </c>
      <c r="D27" t="s">
        <v>59</v>
      </c>
      <c r="E27">
        <v>61</v>
      </c>
      <c r="F27" t="s">
        <v>58</v>
      </c>
      <c r="H27" s="17">
        <v>10</v>
      </c>
      <c r="I27">
        <v>7</v>
      </c>
      <c r="P27" s="4" t="s">
        <v>65</v>
      </c>
      <c r="Q27">
        <v>96</v>
      </c>
    </row>
    <row r="28" spans="1:17" x14ac:dyDescent="0.3">
      <c r="A28" t="s">
        <v>11</v>
      </c>
      <c r="B28" s="2">
        <v>46081.525000000001</v>
      </c>
      <c r="C28" s="8">
        <f t="shared" si="0"/>
        <v>12</v>
      </c>
      <c r="D28" t="s">
        <v>55</v>
      </c>
      <c r="E28">
        <v>22.1</v>
      </c>
      <c r="F28" t="s">
        <v>60</v>
      </c>
      <c r="H28" s="17">
        <v>11</v>
      </c>
      <c r="I28">
        <v>4</v>
      </c>
    </row>
    <row r="29" spans="1:17" x14ac:dyDescent="0.3">
      <c r="A29" t="s">
        <v>11</v>
      </c>
      <c r="B29" s="2">
        <v>46103.458333333343</v>
      </c>
      <c r="C29" s="8">
        <f t="shared" si="0"/>
        <v>11</v>
      </c>
      <c r="D29" t="s">
        <v>55</v>
      </c>
      <c r="E29">
        <v>149.69999999999999</v>
      </c>
      <c r="F29" t="s">
        <v>58</v>
      </c>
      <c r="H29" s="17">
        <v>12</v>
      </c>
      <c r="I29">
        <v>1</v>
      </c>
    </row>
    <row r="30" spans="1:17" x14ac:dyDescent="0.3">
      <c r="A30" t="s">
        <v>11</v>
      </c>
      <c r="B30" s="2">
        <v>46109.182638888888</v>
      </c>
      <c r="C30" s="8">
        <f t="shared" si="0"/>
        <v>4</v>
      </c>
      <c r="D30" t="s">
        <v>57</v>
      </c>
      <c r="E30">
        <v>45.9</v>
      </c>
      <c r="F30" t="s">
        <v>61</v>
      </c>
      <c r="H30" s="17">
        <v>13</v>
      </c>
      <c r="I30">
        <v>2</v>
      </c>
    </row>
    <row r="31" spans="1:17" x14ac:dyDescent="0.3">
      <c r="A31" t="s">
        <v>11</v>
      </c>
      <c r="B31" s="2">
        <v>46048.675000000003</v>
      </c>
      <c r="C31" s="8">
        <f t="shared" si="0"/>
        <v>16</v>
      </c>
      <c r="D31" t="s">
        <v>59</v>
      </c>
      <c r="E31">
        <v>45.2</v>
      </c>
      <c r="F31" t="s">
        <v>60</v>
      </c>
      <c r="H31" s="17">
        <v>14</v>
      </c>
      <c r="I31">
        <v>3</v>
      </c>
    </row>
    <row r="32" spans="1:17" x14ac:dyDescent="0.3">
      <c r="A32" t="s">
        <v>11</v>
      </c>
      <c r="B32" s="2">
        <v>46109.012499999997</v>
      </c>
      <c r="C32" s="8">
        <f t="shared" si="0"/>
        <v>0</v>
      </c>
      <c r="D32" t="s">
        <v>55</v>
      </c>
      <c r="E32">
        <v>107</v>
      </c>
      <c r="F32" t="s">
        <v>62</v>
      </c>
      <c r="H32" s="17">
        <v>15</v>
      </c>
      <c r="I32">
        <v>3</v>
      </c>
    </row>
    <row r="33" spans="1:9" x14ac:dyDescent="0.3">
      <c r="A33" t="s">
        <v>11</v>
      </c>
      <c r="B33" s="2">
        <v>46064.603472222218</v>
      </c>
      <c r="C33" s="8">
        <f t="shared" si="0"/>
        <v>14</v>
      </c>
      <c r="D33" t="s">
        <v>59</v>
      </c>
      <c r="E33">
        <v>34.5</v>
      </c>
      <c r="F33" t="s">
        <v>61</v>
      </c>
      <c r="H33" s="17">
        <v>16</v>
      </c>
      <c r="I33">
        <v>6</v>
      </c>
    </row>
    <row r="34" spans="1:9" x14ac:dyDescent="0.3">
      <c r="A34" t="s">
        <v>11</v>
      </c>
      <c r="B34" s="2">
        <v>46111.140972222223</v>
      </c>
      <c r="C34" s="8">
        <f t="shared" si="0"/>
        <v>3</v>
      </c>
      <c r="D34" t="s">
        <v>57</v>
      </c>
      <c r="E34">
        <v>15.5</v>
      </c>
      <c r="F34" t="s">
        <v>54</v>
      </c>
      <c r="H34" s="17">
        <v>17</v>
      </c>
      <c r="I34">
        <v>4</v>
      </c>
    </row>
    <row r="35" spans="1:9" x14ac:dyDescent="0.3">
      <c r="A35" t="s">
        <v>11</v>
      </c>
      <c r="B35" s="2">
        <v>46057.357638888891</v>
      </c>
      <c r="C35" s="8">
        <f t="shared" si="0"/>
        <v>8</v>
      </c>
      <c r="D35" t="s">
        <v>55</v>
      </c>
      <c r="E35">
        <v>54.6</v>
      </c>
      <c r="F35" t="s">
        <v>56</v>
      </c>
      <c r="H35" s="17">
        <v>18</v>
      </c>
      <c r="I35">
        <v>1</v>
      </c>
    </row>
    <row r="36" spans="1:9" x14ac:dyDescent="0.3">
      <c r="A36" t="s">
        <v>11</v>
      </c>
      <c r="B36" s="2">
        <v>46069.226388888892</v>
      </c>
      <c r="C36" s="8">
        <f t="shared" si="0"/>
        <v>5</v>
      </c>
      <c r="D36" t="s">
        <v>55</v>
      </c>
      <c r="E36">
        <v>142.30000000000001</v>
      </c>
      <c r="F36" t="s">
        <v>58</v>
      </c>
      <c r="H36" s="17">
        <v>19</v>
      </c>
      <c r="I36">
        <v>2</v>
      </c>
    </row>
    <row r="37" spans="1:9" x14ac:dyDescent="0.3">
      <c r="A37" t="s">
        <v>11</v>
      </c>
      <c r="B37" s="2">
        <v>46088.730555555558</v>
      </c>
      <c r="C37" s="8">
        <f t="shared" si="0"/>
        <v>17</v>
      </c>
      <c r="D37" t="s">
        <v>53</v>
      </c>
      <c r="E37">
        <v>34.6</v>
      </c>
      <c r="F37" t="s">
        <v>58</v>
      </c>
      <c r="H37" s="17">
        <v>20</v>
      </c>
      <c r="I37">
        <v>4</v>
      </c>
    </row>
    <row r="38" spans="1:9" x14ac:dyDescent="0.3">
      <c r="A38" t="s">
        <v>11</v>
      </c>
      <c r="B38" s="2">
        <v>46087.270833333343</v>
      </c>
      <c r="C38" s="8">
        <f t="shared" si="0"/>
        <v>6</v>
      </c>
      <c r="D38" t="s">
        <v>55</v>
      </c>
      <c r="E38">
        <v>91.8</v>
      </c>
      <c r="F38" t="s">
        <v>61</v>
      </c>
      <c r="H38" s="17">
        <v>21</v>
      </c>
      <c r="I38">
        <v>6</v>
      </c>
    </row>
    <row r="39" spans="1:9" x14ac:dyDescent="0.3">
      <c r="A39" t="s">
        <v>11</v>
      </c>
      <c r="B39" s="2">
        <v>46041.609027777777</v>
      </c>
      <c r="C39" s="8">
        <f t="shared" si="0"/>
        <v>14</v>
      </c>
      <c r="D39" t="s">
        <v>57</v>
      </c>
      <c r="E39">
        <v>50.2</v>
      </c>
      <c r="F39" t="s">
        <v>56</v>
      </c>
      <c r="H39" s="17">
        <v>22</v>
      </c>
      <c r="I39">
        <v>5</v>
      </c>
    </row>
    <row r="40" spans="1:9" x14ac:dyDescent="0.3">
      <c r="A40" t="s">
        <v>11</v>
      </c>
      <c r="B40" s="2">
        <v>46069.289583333331</v>
      </c>
      <c r="C40" s="8">
        <f t="shared" si="0"/>
        <v>6</v>
      </c>
      <c r="D40" t="s">
        <v>59</v>
      </c>
      <c r="E40">
        <v>111.4</v>
      </c>
      <c r="F40" t="s">
        <v>54</v>
      </c>
      <c r="H40" s="17">
        <v>23</v>
      </c>
      <c r="I40">
        <v>4</v>
      </c>
    </row>
    <row r="41" spans="1:9" x14ac:dyDescent="0.3">
      <c r="A41" t="s">
        <v>11</v>
      </c>
      <c r="B41" s="2">
        <v>46025.740277777782</v>
      </c>
      <c r="C41" s="8">
        <f t="shared" si="0"/>
        <v>17</v>
      </c>
      <c r="D41" t="s">
        <v>59</v>
      </c>
      <c r="E41">
        <v>65.599999999999994</v>
      </c>
      <c r="F41" t="s">
        <v>61</v>
      </c>
      <c r="H41" s="17" t="s">
        <v>65</v>
      </c>
      <c r="I41">
        <v>96</v>
      </c>
    </row>
    <row r="42" spans="1:9" x14ac:dyDescent="0.3">
      <c r="A42" t="s">
        <v>11</v>
      </c>
      <c r="B42" s="2">
        <v>46082.678472222222</v>
      </c>
      <c r="C42" s="8">
        <f t="shared" si="0"/>
        <v>16</v>
      </c>
      <c r="D42" t="s">
        <v>55</v>
      </c>
      <c r="E42">
        <v>61.2</v>
      </c>
      <c r="F42" t="s">
        <v>58</v>
      </c>
    </row>
    <row r="43" spans="1:9" x14ac:dyDescent="0.3">
      <c r="A43" t="s">
        <v>11</v>
      </c>
      <c r="B43" s="2">
        <v>46058.427083333343</v>
      </c>
      <c r="C43" s="8">
        <f t="shared" si="0"/>
        <v>10</v>
      </c>
      <c r="D43" t="s">
        <v>57</v>
      </c>
      <c r="E43">
        <v>47.3</v>
      </c>
      <c r="F43" t="s">
        <v>56</v>
      </c>
    </row>
    <row r="44" spans="1:9" x14ac:dyDescent="0.3">
      <c r="A44" t="s">
        <v>11</v>
      </c>
      <c r="B44" s="2">
        <v>46073.672222222223</v>
      </c>
      <c r="C44" s="8">
        <f t="shared" si="0"/>
        <v>16</v>
      </c>
      <c r="D44" t="s">
        <v>55</v>
      </c>
      <c r="E44">
        <v>43.9</v>
      </c>
      <c r="F44" t="s">
        <v>62</v>
      </c>
    </row>
    <row r="45" spans="1:9" x14ac:dyDescent="0.3">
      <c r="A45" t="s">
        <v>9</v>
      </c>
      <c r="B45" s="2">
        <v>46028.112500000003</v>
      </c>
      <c r="C45" s="8">
        <f t="shared" si="0"/>
        <v>2</v>
      </c>
      <c r="D45" t="s">
        <v>57</v>
      </c>
      <c r="E45">
        <v>11.9</v>
      </c>
      <c r="F45" t="s">
        <v>54</v>
      </c>
    </row>
    <row r="46" spans="1:9" x14ac:dyDescent="0.3">
      <c r="A46" t="s">
        <v>9</v>
      </c>
      <c r="B46" s="2">
        <v>46102.105555555558</v>
      </c>
      <c r="C46" s="8">
        <f t="shared" si="0"/>
        <v>2</v>
      </c>
      <c r="D46" t="s">
        <v>55</v>
      </c>
      <c r="E46">
        <v>111.9</v>
      </c>
      <c r="F46" t="s">
        <v>54</v>
      </c>
    </row>
    <row r="47" spans="1:9" x14ac:dyDescent="0.3">
      <c r="A47" t="s">
        <v>9</v>
      </c>
      <c r="B47" s="2">
        <v>46039.145138888889</v>
      </c>
      <c r="C47" s="8">
        <f t="shared" si="0"/>
        <v>3</v>
      </c>
      <c r="D47" t="s">
        <v>55</v>
      </c>
      <c r="E47">
        <v>91.7</v>
      </c>
      <c r="F47" t="s">
        <v>54</v>
      </c>
    </row>
    <row r="48" spans="1:9" x14ac:dyDescent="0.3">
      <c r="A48" t="s">
        <v>9</v>
      </c>
      <c r="B48" s="2">
        <v>46088.150694444441</v>
      </c>
      <c r="C48" s="8">
        <f t="shared" si="0"/>
        <v>3</v>
      </c>
      <c r="D48" t="s">
        <v>55</v>
      </c>
      <c r="E48">
        <v>115.7</v>
      </c>
      <c r="F48" t="s">
        <v>61</v>
      </c>
    </row>
    <row r="49" spans="1:6" x14ac:dyDescent="0.3">
      <c r="A49" t="s">
        <v>9</v>
      </c>
      <c r="B49" s="2">
        <v>46082.920138888891</v>
      </c>
      <c r="C49" s="8">
        <f t="shared" si="0"/>
        <v>22</v>
      </c>
      <c r="D49" t="s">
        <v>57</v>
      </c>
      <c r="E49">
        <v>41.8</v>
      </c>
      <c r="F49" t="s">
        <v>62</v>
      </c>
    </row>
    <row r="50" spans="1:6" x14ac:dyDescent="0.3">
      <c r="A50" t="s">
        <v>9</v>
      </c>
      <c r="B50" s="2">
        <v>46094.189583333333</v>
      </c>
      <c r="C50" s="8">
        <f t="shared" si="0"/>
        <v>4</v>
      </c>
      <c r="D50" t="s">
        <v>59</v>
      </c>
      <c r="E50">
        <v>98</v>
      </c>
      <c r="F50" t="s">
        <v>60</v>
      </c>
    </row>
    <row r="51" spans="1:6" x14ac:dyDescent="0.3">
      <c r="A51" t="s">
        <v>9</v>
      </c>
      <c r="B51" s="2">
        <v>46035.402777777781</v>
      </c>
      <c r="C51" s="8">
        <f t="shared" si="0"/>
        <v>9</v>
      </c>
      <c r="D51" t="s">
        <v>57</v>
      </c>
      <c r="E51">
        <v>43.5</v>
      </c>
      <c r="F51" t="s">
        <v>58</v>
      </c>
    </row>
    <row r="52" spans="1:6" x14ac:dyDescent="0.3">
      <c r="A52" t="s">
        <v>9</v>
      </c>
      <c r="B52" s="2">
        <v>46051.770833333343</v>
      </c>
      <c r="C52" s="8">
        <f t="shared" si="0"/>
        <v>18</v>
      </c>
      <c r="D52" t="s">
        <v>55</v>
      </c>
      <c r="E52">
        <v>134.4</v>
      </c>
      <c r="F52" t="s">
        <v>56</v>
      </c>
    </row>
    <row r="53" spans="1:6" x14ac:dyDescent="0.3">
      <c r="A53" t="s">
        <v>9</v>
      </c>
      <c r="B53" s="2">
        <v>46038.229861111111</v>
      </c>
      <c r="C53" s="8">
        <f t="shared" si="0"/>
        <v>5</v>
      </c>
      <c r="D53" t="s">
        <v>55</v>
      </c>
      <c r="E53">
        <v>38.799999999999997</v>
      </c>
      <c r="F53" t="s">
        <v>61</v>
      </c>
    </row>
    <row r="54" spans="1:6" x14ac:dyDescent="0.3">
      <c r="A54" t="s">
        <v>9</v>
      </c>
      <c r="B54" s="2">
        <v>46108.852083333331</v>
      </c>
      <c r="C54" s="8">
        <f t="shared" si="0"/>
        <v>20</v>
      </c>
      <c r="D54" t="s">
        <v>59</v>
      </c>
      <c r="E54">
        <v>111.8</v>
      </c>
      <c r="F54" t="s">
        <v>61</v>
      </c>
    </row>
    <row r="55" spans="1:6" x14ac:dyDescent="0.3">
      <c r="A55" t="s">
        <v>9</v>
      </c>
      <c r="B55" s="2">
        <v>46099.556944444441</v>
      </c>
      <c r="C55" s="8">
        <f t="shared" si="0"/>
        <v>13</v>
      </c>
      <c r="D55" t="s">
        <v>57</v>
      </c>
      <c r="E55">
        <v>25.9</v>
      </c>
      <c r="F55" t="s">
        <v>62</v>
      </c>
    </row>
    <row r="56" spans="1:6" x14ac:dyDescent="0.3">
      <c r="A56" t="s">
        <v>25</v>
      </c>
      <c r="B56" s="2">
        <v>46066.722916666673</v>
      </c>
      <c r="C56" s="8">
        <f t="shared" si="0"/>
        <v>17</v>
      </c>
      <c r="D56" t="s">
        <v>57</v>
      </c>
      <c r="E56">
        <v>14</v>
      </c>
      <c r="F56" t="s">
        <v>58</v>
      </c>
    </row>
    <row r="57" spans="1:6" x14ac:dyDescent="0.3">
      <c r="A57" t="s">
        <v>25</v>
      </c>
      <c r="B57" s="2">
        <v>46091.201388888891</v>
      </c>
      <c r="C57" s="8">
        <f t="shared" si="0"/>
        <v>4</v>
      </c>
      <c r="D57" t="s">
        <v>53</v>
      </c>
      <c r="E57">
        <v>32.1</v>
      </c>
      <c r="F57" t="s">
        <v>58</v>
      </c>
    </row>
    <row r="58" spans="1:6" x14ac:dyDescent="0.3">
      <c r="A58" t="s">
        <v>25</v>
      </c>
      <c r="B58" s="2">
        <v>46084.709722222222</v>
      </c>
      <c r="C58" s="8">
        <f t="shared" si="0"/>
        <v>17</v>
      </c>
      <c r="D58" t="s">
        <v>53</v>
      </c>
      <c r="E58">
        <v>59.9</v>
      </c>
      <c r="F58" t="s">
        <v>56</v>
      </c>
    </row>
    <row r="59" spans="1:6" x14ac:dyDescent="0.3">
      <c r="A59" t="s">
        <v>25</v>
      </c>
      <c r="B59" s="2">
        <v>46100.136805555558</v>
      </c>
      <c r="C59" s="8">
        <f t="shared" si="0"/>
        <v>3</v>
      </c>
      <c r="D59" t="s">
        <v>59</v>
      </c>
      <c r="E59">
        <v>136.1</v>
      </c>
      <c r="F59" t="s">
        <v>54</v>
      </c>
    </row>
    <row r="60" spans="1:6" x14ac:dyDescent="0.3">
      <c r="A60" t="s">
        <v>25</v>
      </c>
      <c r="B60" s="2">
        <v>46062.413888888892</v>
      </c>
      <c r="C60" s="8">
        <f t="shared" si="0"/>
        <v>9</v>
      </c>
      <c r="D60" t="s">
        <v>57</v>
      </c>
      <c r="E60">
        <v>28.5</v>
      </c>
      <c r="F60" t="s">
        <v>58</v>
      </c>
    </row>
    <row r="61" spans="1:6" x14ac:dyDescent="0.3">
      <c r="A61" t="s">
        <v>25</v>
      </c>
      <c r="B61" s="2">
        <v>46107.763194444437</v>
      </c>
      <c r="C61" s="8">
        <f t="shared" si="0"/>
        <v>18</v>
      </c>
      <c r="D61" t="s">
        <v>55</v>
      </c>
      <c r="E61">
        <v>86.3</v>
      </c>
      <c r="F61" t="s">
        <v>61</v>
      </c>
    </row>
    <row r="62" spans="1:6" x14ac:dyDescent="0.3">
      <c r="A62" t="s">
        <v>25</v>
      </c>
      <c r="B62" s="2">
        <v>46087.90625</v>
      </c>
      <c r="C62" s="8">
        <f t="shared" si="0"/>
        <v>21</v>
      </c>
      <c r="D62" t="s">
        <v>59</v>
      </c>
      <c r="E62">
        <v>119.3</v>
      </c>
      <c r="F62" t="s">
        <v>58</v>
      </c>
    </row>
    <row r="63" spans="1:6" x14ac:dyDescent="0.3">
      <c r="A63" t="s">
        <v>25</v>
      </c>
      <c r="B63" s="2">
        <v>46041.840277777781</v>
      </c>
      <c r="C63" s="8">
        <f t="shared" si="0"/>
        <v>20</v>
      </c>
      <c r="D63" t="s">
        <v>53</v>
      </c>
      <c r="E63">
        <v>45.9</v>
      </c>
      <c r="F63" t="s">
        <v>56</v>
      </c>
    </row>
    <row r="64" spans="1:6" x14ac:dyDescent="0.3">
      <c r="A64" t="s">
        <v>25</v>
      </c>
      <c r="B64" s="2">
        <v>46044.488888888889</v>
      </c>
      <c r="C64" s="8">
        <f t="shared" si="0"/>
        <v>11</v>
      </c>
      <c r="D64" t="s">
        <v>57</v>
      </c>
      <c r="E64">
        <v>12.7</v>
      </c>
      <c r="F64" t="s">
        <v>62</v>
      </c>
    </row>
    <row r="65" spans="1:6" x14ac:dyDescent="0.3">
      <c r="A65" t="s">
        <v>25</v>
      </c>
      <c r="B65" s="2">
        <v>46053.888194444437</v>
      </c>
      <c r="C65" s="8">
        <f t="shared" si="0"/>
        <v>21</v>
      </c>
      <c r="D65" t="s">
        <v>57</v>
      </c>
      <c r="E65">
        <v>29.8</v>
      </c>
      <c r="F65" t="s">
        <v>56</v>
      </c>
    </row>
    <row r="66" spans="1:6" x14ac:dyDescent="0.3">
      <c r="A66" t="s">
        <v>25</v>
      </c>
      <c r="B66" s="2">
        <v>46057.229861111111</v>
      </c>
      <c r="C66" s="8">
        <f t="shared" si="0"/>
        <v>5</v>
      </c>
      <c r="D66" t="s">
        <v>57</v>
      </c>
      <c r="E66">
        <v>41.8</v>
      </c>
      <c r="F66" t="s">
        <v>61</v>
      </c>
    </row>
    <row r="67" spans="1:6" x14ac:dyDescent="0.3">
      <c r="A67" t="s">
        <v>25</v>
      </c>
      <c r="B67" s="2">
        <v>46032.486111111109</v>
      </c>
      <c r="C67" s="8">
        <f t="shared" ref="C67:C130" si="1">HOUR(B67)</f>
        <v>11</v>
      </c>
      <c r="D67" t="s">
        <v>57</v>
      </c>
      <c r="E67">
        <v>57.6</v>
      </c>
      <c r="F67" t="s">
        <v>54</v>
      </c>
    </row>
    <row r="68" spans="1:6" x14ac:dyDescent="0.3">
      <c r="A68" t="s">
        <v>25</v>
      </c>
      <c r="B68" s="2">
        <v>46056.310416666667</v>
      </c>
      <c r="C68" s="8">
        <f t="shared" si="1"/>
        <v>7</v>
      </c>
      <c r="D68" t="s">
        <v>57</v>
      </c>
      <c r="E68">
        <v>55.5</v>
      </c>
      <c r="F68" t="s">
        <v>60</v>
      </c>
    </row>
    <row r="69" spans="1:6" x14ac:dyDescent="0.3">
      <c r="A69" t="s">
        <v>25</v>
      </c>
      <c r="B69" s="2">
        <v>46039.95416666667</v>
      </c>
      <c r="C69" s="8">
        <f t="shared" si="1"/>
        <v>22</v>
      </c>
      <c r="D69" t="s">
        <v>57</v>
      </c>
      <c r="E69">
        <v>39.299999999999997</v>
      </c>
      <c r="F69" t="s">
        <v>60</v>
      </c>
    </row>
    <row r="70" spans="1:6" x14ac:dyDescent="0.3">
      <c r="A70" t="s">
        <v>25</v>
      </c>
      <c r="B70" s="2">
        <v>46084.547222222223</v>
      </c>
      <c r="C70" s="8">
        <f t="shared" si="1"/>
        <v>13</v>
      </c>
      <c r="D70" t="s">
        <v>53</v>
      </c>
      <c r="E70">
        <v>44.7</v>
      </c>
      <c r="F70" t="s">
        <v>54</v>
      </c>
    </row>
    <row r="71" spans="1:6" x14ac:dyDescent="0.3">
      <c r="A71" t="s">
        <v>25</v>
      </c>
      <c r="B71" s="2">
        <v>46091.415277777778</v>
      </c>
      <c r="C71" s="8">
        <f t="shared" si="1"/>
        <v>9</v>
      </c>
      <c r="D71" t="s">
        <v>53</v>
      </c>
      <c r="E71">
        <v>8.8000000000000007</v>
      </c>
      <c r="F71" t="s">
        <v>62</v>
      </c>
    </row>
    <row r="72" spans="1:6" x14ac:dyDescent="0.3">
      <c r="A72" t="s">
        <v>25</v>
      </c>
      <c r="B72" s="2">
        <v>46068.152777777781</v>
      </c>
      <c r="C72" s="8">
        <f t="shared" si="1"/>
        <v>3</v>
      </c>
      <c r="D72" t="s">
        <v>59</v>
      </c>
      <c r="E72">
        <v>118</v>
      </c>
      <c r="F72" t="s">
        <v>58</v>
      </c>
    </row>
    <row r="73" spans="1:6" x14ac:dyDescent="0.3">
      <c r="A73" t="s">
        <v>25</v>
      </c>
      <c r="B73" s="2">
        <v>46107.157638888893</v>
      </c>
      <c r="C73" s="8">
        <f t="shared" si="1"/>
        <v>3</v>
      </c>
      <c r="D73" t="s">
        <v>57</v>
      </c>
      <c r="E73">
        <v>55.1</v>
      </c>
      <c r="F73" t="s">
        <v>54</v>
      </c>
    </row>
    <row r="74" spans="1:6" x14ac:dyDescent="0.3">
      <c r="A74" t="s">
        <v>25</v>
      </c>
      <c r="B74" s="2">
        <v>46071.359027777777</v>
      </c>
      <c r="C74" s="8">
        <f t="shared" si="1"/>
        <v>8</v>
      </c>
      <c r="D74" t="s">
        <v>59</v>
      </c>
      <c r="E74">
        <v>32.6</v>
      </c>
      <c r="F74" t="s">
        <v>56</v>
      </c>
    </row>
    <row r="75" spans="1:6" x14ac:dyDescent="0.3">
      <c r="A75" t="s">
        <v>37</v>
      </c>
      <c r="B75" s="2">
        <v>46098.518750000003</v>
      </c>
      <c r="C75" s="8">
        <f t="shared" si="1"/>
        <v>12</v>
      </c>
      <c r="D75" t="s">
        <v>59</v>
      </c>
      <c r="E75">
        <v>116.4</v>
      </c>
      <c r="F75" t="s">
        <v>58</v>
      </c>
    </row>
    <row r="76" spans="1:6" x14ac:dyDescent="0.3">
      <c r="A76" t="s">
        <v>37</v>
      </c>
      <c r="B76" s="2">
        <v>46089.454861111109</v>
      </c>
      <c r="C76" s="8">
        <f t="shared" si="1"/>
        <v>10</v>
      </c>
      <c r="D76" t="s">
        <v>57</v>
      </c>
      <c r="E76">
        <v>23.9</v>
      </c>
      <c r="F76" t="s">
        <v>54</v>
      </c>
    </row>
    <row r="77" spans="1:6" x14ac:dyDescent="0.3">
      <c r="A77" t="s">
        <v>37</v>
      </c>
      <c r="B77" s="2">
        <v>46090.263194444437</v>
      </c>
      <c r="C77" s="8">
        <f t="shared" si="1"/>
        <v>6</v>
      </c>
      <c r="D77" t="s">
        <v>53</v>
      </c>
      <c r="E77">
        <v>52.6</v>
      </c>
      <c r="F77" t="s">
        <v>58</v>
      </c>
    </row>
    <row r="78" spans="1:6" x14ac:dyDescent="0.3">
      <c r="A78" t="s">
        <v>37</v>
      </c>
      <c r="B78" s="2">
        <v>46101.436111111107</v>
      </c>
      <c r="C78" s="8">
        <f t="shared" si="1"/>
        <v>10</v>
      </c>
      <c r="D78" t="s">
        <v>59</v>
      </c>
      <c r="E78">
        <v>115.3</v>
      </c>
      <c r="F78" t="s">
        <v>61</v>
      </c>
    </row>
    <row r="79" spans="1:6" x14ac:dyDescent="0.3">
      <c r="A79" t="s">
        <v>37</v>
      </c>
      <c r="B79" s="2">
        <v>46091.351388888892</v>
      </c>
      <c r="C79" s="8">
        <f t="shared" si="1"/>
        <v>8</v>
      </c>
      <c r="D79" t="s">
        <v>57</v>
      </c>
      <c r="E79">
        <v>47.8</v>
      </c>
      <c r="F79" t="s">
        <v>58</v>
      </c>
    </row>
    <row r="80" spans="1:6" x14ac:dyDescent="0.3">
      <c r="A80" t="s">
        <v>37</v>
      </c>
      <c r="B80" s="2">
        <v>46036.902083333327</v>
      </c>
      <c r="C80" s="8">
        <f t="shared" si="1"/>
        <v>21</v>
      </c>
      <c r="D80" t="s">
        <v>59</v>
      </c>
      <c r="E80">
        <v>50.1</v>
      </c>
      <c r="F80" t="s">
        <v>58</v>
      </c>
    </row>
    <row r="81" spans="1:6" x14ac:dyDescent="0.3">
      <c r="A81" t="s">
        <v>37</v>
      </c>
      <c r="B81" s="2">
        <v>46039.852777777778</v>
      </c>
      <c r="C81" s="8">
        <f t="shared" si="1"/>
        <v>20</v>
      </c>
      <c r="D81" t="s">
        <v>57</v>
      </c>
      <c r="E81">
        <v>49.9</v>
      </c>
      <c r="F81" t="s">
        <v>58</v>
      </c>
    </row>
    <row r="82" spans="1:6" x14ac:dyDescent="0.3">
      <c r="A82" t="s">
        <v>37</v>
      </c>
      <c r="B82" s="2">
        <v>46048.604166666657</v>
      </c>
      <c r="C82" s="8">
        <f t="shared" si="1"/>
        <v>14</v>
      </c>
      <c r="D82" t="s">
        <v>55</v>
      </c>
      <c r="E82">
        <v>81.900000000000006</v>
      </c>
      <c r="F82" t="s">
        <v>58</v>
      </c>
    </row>
    <row r="83" spans="1:6" x14ac:dyDescent="0.3">
      <c r="A83" t="s">
        <v>37</v>
      </c>
      <c r="B83" s="2">
        <v>46089.331944444442</v>
      </c>
      <c r="C83" s="8">
        <f t="shared" si="1"/>
        <v>7</v>
      </c>
      <c r="D83" t="s">
        <v>53</v>
      </c>
      <c r="E83">
        <v>49.4</v>
      </c>
      <c r="F83" t="s">
        <v>54</v>
      </c>
    </row>
    <row r="84" spans="1:6" x14ac:dyDescent="0.3">
      <c r="A84" t="s">
        <v>37</v>
      </c>
      <c r="B84" s="2">
        <v>46106.88958333333</v>
      </c>
      <c r="C84" s="8">
        <f t="shared" si="1"/>
        <v>21</v>
      </c>
      <c r="D84" t="s">
        <v>57</v>
      </c>
      <c r="E84">
        <v>44.7</v>
      </c>
      <c r="F84" t="s">
        <v>56</v>
      </c>
    </row>
    <row r="85" spans="1:6" x14ac:dyDescent="0.3">
      <c r="A85" t="s">
        <v>37</v>
      </c>
      <c r="B85" s="2">
        <v>46053.672222222223</v>
      </c>
      <c r="C85" s="8">
        <f t="shared" si="1"/>
        <v>16</v>
      </c>
      <c r="D85" t="s">
        <v>57</v>
      </c>
      <c r="E85">
        <v>40.4</v>
      </c>
      <c r="F85" t="s">
        <v>58</v>
      </c>
    </row>
    <row r="86" spans="1:6" x14ac:dyDescent="0.3">
      <c r="A86" t="s">
        <v>37</v>
      </c>
      <c r="B86" s="2">
        <v>46096.549305555563</v>
      </c>
      <c r="C86" s="8">
        <f t="shared" si="1"/>
        <v>13</v>
      </c>
      <c r="D86" t="s">
        <v>55</v>
      </c>
      <c r="E86">
        <v>49.3</v>
      </c>
      <c r="F86" t="s">
        <v>60</v>
      </c>
    </row>
    <row r="87" spans="1:6" x14ac:dyDescent="0.3">
      <c r="A87" t="s">
        <v>37</v>
      </c>
      <c r="B87" s="2">
        <v>46086.979166666657</v>
      </c>
      <c r="C87" s="8">
        <f t="shared" si="1"/>
        <v>23</v>
      </c>
      <c r="D87" t="s">
        <v>57</v>
      </c>
      <c r="E87">
        <v>11.3</v>
      </c>
      <c r="F87" t="s">
        <v>54</v>
      </c>
    </row>
    <row r="88" spans="1:6" x14ac:dyDescent="0.3">
      <c r="A88" t="s">
        <v>37</v>
      </c>
      <c r="B88" s="2">
        <v>46088.293749999997</v>
      </c>
      <c r="C88" s="8">
        <f t="shared" si="1"/>
        <v>7</v>
      </c>
      <c r="D88" t="s">
        <v>57</v>
      </c>
      <c r="E88">
        <v>33.799999999999997</v>
      </c>
      <c r="F88" t="s">
        <v>56</v>
      </c>
    </row>
    <row r="89" spans="1:6" x14ac:dyDescent="0.3">
      <c r="A89" t="s">
        <v>37</v>
      </c>
      <c r="B89" s="2">
        <v>46025.53402777778</v>
      </c>
      <c r="C89" s="8">
        <f t="shared" si="1"/>
        <v>12</v>
      </c>
      <c r="D89" t="s">
        <v>57</v>
      </c>
      <c r="E89">
        <v>16.5</v>
      </c>
      <c r="F89" t="s">
        <v>54</v>
      </c>
    </row>
    <row r="90" spans="1:6" x14ac:dyDescent="0.3">
      <c r="A90" t="s">
        <v>37</v>
      </c>
      <c r="B90" s="2">
        <v>46080.418749999997</v>
      </c>
      <c r="C90" s="8">
        <f t="shared" si="1"/>
        <v>10</v>
      </c>
      <c r="D90" t="s">
        <v>59</v>
      </c>
      <c r="E90">
        <v>78.900000000000006</v>
      </c>
      <c r="F90" t="s">
        <v>62</v>
      </c>
    </row>
    <row r="91" spans="1:6" x14ac:dyDescent="0.3">
      <c r="A91" t="s">
        <v>37</v>
      </c>
      <c r="B91" s="2">
        <v>46101.429861111108</v>
      </c>
      <c r="C91" s="8">
        <f t="shared" si="1"/>
        <v>10</v>
      </c>
      <c r="D91" t="s">
        <v>57</v>
      </c>
      <c r="E91">
        <v>59</v>
      </c>
      <c r="F91" t="s">
        <v>58</v>
      </c>
    </row>
    <row r="92" spans="1:6" x14ac:dyDescent="0.3">
      <c r="A92" t="s">
        <v>33</v>
      </c>
      <c r="B92" s="2">
        <v>46072.226388888892</v>
      </c>
      <c r="C92" s="8">
        <f t="shared" si="1"/>
        <v>5</v>
      </c>
      <c r="D92" t="s">
        <v>57</v>
      </c>
      <c r="E92">
        <v>53.2</v>
      </c>
      <c r="F92" t="s">
        <v>56</v>
      </c>
    </row>
    <row r="93" spans="1:6" x14ac:dyDescent="0.3">
      <c r="A93" t="s">
        <v>33</v>
      </c>
      <c r="B93" s="2">
        <v>46053.035416666673</v>
      </c>
      <c r="C93" s="8">
        <f t="shared" si="1"/>
        <v>0</v>
      </c>
      <c r="D93" t="s">
        <v>53</v>
      </c>
      <c r="E93">
        <v>12.1</v>
      </c>
      <c r="F93" t="s">
        <v>54</v>
      </c>
    </row>
    <row r="94" spans="1:6" x14ac:dyDescent="0.3">
      <c r="A94" t="s">
        <v>33</v>
      </c>
      <c r="B94" s="2">
        <v>46065.322222222218</v>
      </c>
      <c r="C94" s="8">
        <f t="shared" si="1"/>
        <v>7</v>
      </c>
      <c r="D94" t="s">
        <v>53</v>
      </c>
      <c r="E94">
        <v>35.700000000000003</v>
      </c>
      <c r="F94" t="s">
        <v>62</v>
      </c>
    </row>
    <row r="95" spans="1:6" x14ac:dyDescent="0.3">
      <c r="A95" t="s">
        <v>33</v>
      </c>
      <c r="B95" s="2">
        <v>46060.275694444441</v>
      </c>
      <c r="C95" s="8">
        <f t="shared" si="1"/>
        <v>6</v>
      </c>
      <c r="D95" t="s">
        <v>59</v>
      </c>
      <c r="E95">
        <v>117.5</v>
      </c>
      <c r="F95" t="s">
        <v>62</v>
      </c>
    </row>
    <row r="96" spans="1:6" x14ac:dyDescent="0.3">
      <c r="A96" t="s">
        <v>33</v>
      </c>
      <c r="B96" s="2">
        <v>46101.584027777782</v>
      </c>
      <c r="C96" s="8">
        <f t="shared" si="1"/>
        <v>14</v>
      </c>
      <c r="D96" t="s">
        <v>57</v>
      </c>
      <c r="E96">
        <v>13.7</v>
      </c>
      <c r="F96" t="s">
        <v>62</v>
      </c>
    </row>
    <row r="97" spans="1:6" x14ac:dyDescent="0.3">
      <c r="A97" t="s">
        <v>33</v>
      </c>
      <c r="B97" s="2">
        <v>46052.407638888893</v>
      </c>
      <c r="C97" s="8">
        <f t="shared" si="1"/>
        <v>9</v>
      </c>
      <c r="D97" t="s">
        <v>53</v>
      </c>
      <c r="E97">
        <v>32.799999999999997</v>
      </c>
      <c r="F97" t="s">
        <v>61</v>
      </c>
    </row>
    <row r="98" spans="1:6" x14ac:dyDescent="0.3">
      <c r="A98" t="s">
        <v>33</v>
      </c>
      <c r="B98" s="2">
        <v>46089.800694444442</v>
      </c>
      <c r="C98" s="8">
        <f t="shared" si="1"/>
        <v>19</v>
      </c>
      <c r="D98" t="s">
        <v>57</v>
      </c>
      <c r="E98">
        <v>6.9</v>
      </c>
      <c r="F98" t="s">
        <v>61</v>
      </c>
    </row>
    <row r="99" spans="1:6" x14ac:dyDescent="0.3">
      <c r="A99" t="s">
        <v>33</v>
      </c>
      <c r="B99" s="2">
        <v>46061.851388888892</v>
      </c>
      <c r="C99" s="8">
        <f t="shared" si="1"/>
        <v>20</v>
      </c>
      <c r="D99" t="s">
        <v>57</v>
      </c>
      <c r="E99">
        <v>29.4</v>
      </c>
      <c r="F99" t="s">
        <v>61</v>
      </c>
    </row>
    <row r="100" spans="1:6" x14ac:dyDescent="0.3">
      <c r="A100" t="s">
        <v>33</v>
      </c>
      <c r="B100" s="2">
        <v>46055.3</v>
      </c>
      <c r="C100" s="8">
        <f t="shared" si="1"/>
        <v>7</v>
      </c>
      <c r="D100" t="s">
        <v>57</v>
      </c>
      <c r="E100">
        <v>29.3</v>
      </c>
      <c r="F100" t="s">
        <v>54</v>
      </c>
    </row>
    <row r="101" spans="1:6" x14ac:dyDescent="0.3">
      <c r="A101" t="s">
        <v>33</v>
      </c>
      <c r="B101" s="2">
        <v>46060.229861111111</v>
      </c>
      <c r="C101" s="8">
        <f t="shared" si="1"/>
        <v>5</v>
      </c>
      <c r="D101" t="s">
        <v>59</v>
      </c>
      <c r="E101">
        <v>72.3</v>
      </c>
      <c r="F101" t="s">
        <v>56</v>
      </c>
    </row>
    <row r="102" spans="1:6" x14ac:dyDescent="0.3">
      <c r="A102" t="s">
        <v>33</v>
      </c>
      <c r="B102" s="2">
        <v>46048.051388888889</v>
      </c>
      <c r="C102" s="8">
        <f t="shared" si="1"/>
        <v>1</v>
      </c>
      <c r="D102" t="s">
        <v>57</v>
      </c>
      <c r="E102">
        <v>14.5</v>
      </c>
      <c r="F102" t="s">
        <v>58</v>
      </c>
    </row>
    <row r="103" spans="1:6" x14ac:dyDescent="0.3">
      <c r="A103" t="s">
        <v>33</v>
      </c>
      <c r="B103" s="2">
        <v>46051.936805555553</v>
      </c>
      <c r="C103" s="8">
        <f t="shared" si="1"/>
        <v>22</v>
      </c>
      <c r="D103" t="s">
        <v>57</v>
      </c>
      <c r="E103">
        <v>10.199999999999999</v>
      </c>
      <c r="F103" t="s">
        <v>61</v>
      </c>
    </row>
    <row r="104" spans="1:6" x14ac:dyDescent="0.3">
      <c r="A104" t="s">
        <v>33</v>
      </c>
      <c r="B104" s="2">
        <v>46086.131944444453</v>
      </c>
      <c r="C104" s="8">
        <f t="shared" si="1"/>
        <v>3</v>
      </c>
      <c r="D104" t="s">
        <v>57</v>
      </c>
      <c r="E104">
        <v>44.3</v>
      </c>
      <c r="F104" t="s">
        <v>63</v>
      </c>
    </row>
    <row r="105" spans="1:6" x14ac:dyDescent="0.3">
      <c r="A105" t="s">
        <v>19</v>
      </c>
      <c r="B105" s="2">
        <v>46092.632638888892</v>
      </c>
      <c r="C105" s="8">
        <f t="shared" si="1"/>
        <v>15</v>
      </c>
      <c r="D105" t="s">
        <v>57</v>
      </c>
      <c r="E105">
        <v>59.6</v>
      </c>
      <c r="F105" t="s">
        <v>58</v>
      </c>
    </row>
    <row r="106" spans="1:6" x14ac:dyDescent="0.3">
      <c r="A106" t="s">
        <v>19</v>
      </c>
      <c r="B106" s="2">
        <v>46049.427777777782</v>
      </c>
      <c r="C106" s="8">
        <f t="shared" si="1"/>
        <v>10</v>
      </c>
      <c r="D106" t="s">
        <v>53</v>
      </c>
      <c r="E106">
        <v>7.4</v>
      </c>
      <c r="F106" t="s">
        <v>60</v>
      </c>
    </row>
    <row r="107" spans="1:6" x14ac:dyDescent="0.3">
      <c r="A107" t="s">
        <v>19</v>
      </c>
      <c r="B107" s="2">
        <v>46033.805555555547</v>
      </c>
      <c r="C107" s="8">
        <f t="shared" si="1"/>
        <v>19</v>
      </c>
      <c r="D107" t="s">
        <v>59</v>
      </c>
      <c r="E107">
        <v>64.3</v>
      </c>
      <c r="F107" t="s">
        <v>60</v>
      </c>
    </row>
    <row r="108" spans="1:6" x14ac:dyDescent="0.3">
      <c r="A108" t="s">
        <v>19</v>
      </c>
      <c r="B108" s="2">
        <v>46059.670138888891</v>
      </c>
      <c r="C108" s="8">
        <f t="shared" si="1"/>
        <v>16</v>
      </c>
      <c r="D108" t="s">
        <v>59</v>
      </c>
      <c r="E108">
        <v>77.599999999999994</v>
      </c>
      <c r="F108" t="s">
        <v>60</v>
      </c>
    </row>
    <row r="109" spans="1:6" x14ac:dyDescent="0.3">
      <c r="A109" t="s">
        <v>19</v>
      </c>
      <c r="B109" s="2">
        <v>46027.331944444442</v>
      </c>
      <c r="C109" s="8">
        <f t="shared" si="1"/>
        <v>7</v>
      </c>
      <c r="D109" t="s">
        <v>57</v>
      </c>
      <c r="E109">
        <v>9</v>
      </c>
      <c r="F109" t="s">
        <v>54</v>
      </c>
    </row>
    <row r="110" spans="1:6" x14ac:dyDescent="0.3">
      <c r="A110" t="s">
        <v>19</v>
      </c>
      <c r="B110" s="2">
        <v>46076.313888888893</v>
      </c>
      <c r="C110" s="8">
        <f t="shared" si="1"/>
        <v>7</v>
      </c>
      <c r="D110" t="s">
        <v>53</v>
      </c>
      <c r="E110">
        <v>26.5</v>
      </c>
      <c r="F110" t="s">
        <v>56</v>
      </c>
    </row>
    <row r="111" spans="1:6" x14ac:dyDescent="0.3">
      <c r="A111" t="s">
        <v>19</v>
      </c>
      <c r="B111" s="2">
        <v>46030.065972222219</v>
      </c>
      <c r="C111" s="8">
        <f t="shared" si="1"/>
        <v>1</v>
      </c>
      <c r="D111" t="s">
        <v>59</v>
      </c>
      <c r="E111">
        <v>34.299999999999997</v>
      </c>
      <c r="F111" t="s">
        <v>56</v>
      </c>
    </row>
    <row r="112" spans="1:6" x14ac:dyDescent="0.3">
      <c r="A112" t="s">
        <v>19</v>
      </c>
      <c r="B112" s="2">
        <v>46051.298611111109</v>
      </c>
      <c r="C112" s="8">
        <f t="shared" si="1"/>
        <v>7</v>
      </c>
      <c r="D112" t="s">
        <v>59</v>
      </c>
      <c r="E112">
        <v>133.19999999999999</v>
      </c>
      <c r="F112" t="s">
        <v>62</v>
      </c>
    </row>
    <row r="113" spans="1:6" x14ac:dyDescent="0.3">
      <c r="A113" t="s">
        <v>19</v>
      </c>
      <c r="B113" s="2">
        <v>46076.994444444441</v>
      </c>
      <c r="C113" s="8">
        <f t="shared" si="1"/>
        <v>23</v>
      </c>
      <c r="D113" t="s">
        <v>53</v>
      </c>
      <c r="E113">
        <v>46.4</v>
      </c>
      <c r="F113" t="s">
        <v>54</v>
      </c>
    </row>
    <row r="114" spans="1:6" x14ac:dyDescent="0.3">
      <c r="A114" t="s">
        <v>19</v>
      </c>
      <c r="B114" s="2">
        <v>46083.40625</v>
      </c>
      <c r="C114" s="8">
        <f t="shared" si="1"/>
        <v>9</v>
      </c>
      <c r="D114" t="s">
        <v>57</v>
      </c>
      <c r="E114">
        <v>53</v>
      </c>
      <c r="F114" t="s">
        <v>62</v>
      </c>
    </row>
    <row r="115" spans="1:6" x14ac:dyDescent="0.3">
      <c r="A115" t="s">
        <v>47</v>
      </c>
      <c r="B115" s="2">
        <v>46068.886805555558</v>
      </c>
      <c r="C115" s="8">
        <f t="shared" si="1"/>
        <v>21</v>
      </c>
      <c r="D115" t="s">
        <v>53</v>
      </c>
      <c r="E115">
        <v>39.9</v>
      </c>
      <c r="F115" t="s">
        <v>54</v>
      </c>
    </row>
    <row r="116" spans="1:6" x14ac:dyDescent="0.3">
      <c r="A116" t="s">
        <v>47</v>
      </c>
      <c r="B116" s="2">
        <v>46059.226388888892</v>
      </c>
      <c r="C116" s="8">
        <f t="shared" si="1"/>
        <v>5</v>
      </c>
      <c r="D116" t="s">
        <v>55</v>
      </c>
      <c r="E116">
        <v>75.2</v>
      </c>
      <c r="F116" t="s">
        <v>60</v>
      </c>
    </row>
    <row r="117" spans="1:6" x14ac:dyDescent="0.3">
      <c r="A117" t="s">
        <v>47</v>
      </c>
      <c r="B117" s="2">
        <v>46059.57916666667</v>
      </c>
      <c r="C117" s="8">
        <f t="shared" si="1"/>
        <v>13</v>
      </c>
      <c r="D117" t="s">
        <v>57</v>
      </c>
      <c r="E117">
        <v>34.299999999999997</v>
      </c>
      <c r="F117" t="s">
        <v>61</v>
      </c>
    </row>
    <row r="118" spans="1:6" x14ac:dyDescent="0.3">
      <c r="A118" t="s">
        <v>47</v>
      </c>
      <c r="B118" s="2">
        <v>46065.186111111107</v>
      </c>
      <c r="C118" s="8">
        <f t="shared" si="1"/>
        <v>4</v>
      </c>
      <c r="D118" t="s">
        <v>53</v>
      </c>
      <c r="E118">
        <v>51.8</v>
      </c>
      <c r="F118" t="s">
        <v>54</v>
      </c>
    </row>
    <row r="119" spans="1:6" x14ac:dyDescent="0.3">
      <c r="A119" t="s">
        <v>47</v>
      </c>
      <c r="B119" s="2">
        <v>46057.772916666669</v>
      </c>
      <c r="C119" s="8">
        <f t="shared" si="1"/>
        <v>18</v>
      </c>
      <c r="D119" t="s">
        <v>59</v>
      </c>
      <c r="E119">
        <v>33.5</v>
      </c>
      <c r="F119" t="s">
        <v>61</v>
      </c>
    </row>
    <row r="120" spans="1:6" x14ac:dyDescent="0.3">
      <c r="A120" t="s">
        <v>47</v>
      </c>
      <c r="B120" s="2">
        <v>46096.495138888888</v>
      </c>
      <c r="C120" s="8">
        <f t="shared" si="1"/>
        <v>11</v>
      </c>
      <c r="D120" t="s">
        <v>53</v>
      </c>
      <c r="E120">
        <v>34.4</v>
      </c>
      <c r="F120" t="s">
        <v>58</v>
      </c>
    </row>
    <row r="121" spans="1:6" x14ac:dyDescent="0.3">
      <c r="A121" t="s">
        <v>47</v>
      </c>
      <c r="B121" s="2">
        <v>46103.640972222223</v>
      </c>
      <c r="C121" s="8">
        <f t="shared" si="1"/>
        <v>15</v>
      </c>
      <c r="D121" t="s">
        <v>55</v>
      </c>
      <c r="E121">
        <v>40.6</v>
      </c>
      <c r="F121" t="s">
        <v>58</v>
      </c>
    </row>
    <row r="122" spans="1:6" x14ac:dyDescent="0.3">
      <c r="A122" t="s">
        <v>47</v>
      </c>
      <c r="B122" s="2">
        <v>46033.905555555553</v>
      </c>
      <c r="C122" s="8">
        <f t="shared" si="1"/>
        <v>21</v>
      </c>
      <c r="D122" t="s">
        <v>53</v>
      </c>
      <c r="E122">
        <v>18.5</v>
      </c>
      <c r="F122" t="s">
        <v>62</v>
      </c>
    </row>
    <row r="123" spans="1:6" x14ac:dyDescent="0.3">
      <c r="A123" t="s">
        <v>47</v>
      </c>
      <c r="B123" s="2">
        <v>46087.094444444447</v>
      </c>
      <c r="C123" s="8">
        <f t="shared" si="1"/>
        <v>2</v>
      </c>
      <c r="D123" t="s">
        <v>53</v>
      </c>
      <c r="E123">
        <v>41.6</v>
      </c>
      <c r="F123" t="s">
        <v>61</v>
      </c>
    </row>
    <row r="124" spans="1:6" x14ac:dyDescent="0.3">
      <c r="A124" t="s">
        <v>47</v>
      </c>
      <c r="B124" s="2">
        <v>46040.295138888891</v>
      </c>
      <c r="C124" s="8">
        <f t="shared" si="1"/>
        <v>7</v>
      </c>
      <c r="D124" t="s">
        <v>59</v>
      </c>
      <c r="E124">
        <v>99.6</v>
      </c>
      <c r="F124" t="s">
        <v>60</v>
      </c>
    </row>
    <row r="125" spans="1:6" x14ac:dyDescent="0.3">
      <c r="A125" t="s">
        <v>47</v>
      </c>
      <c r="B125" s="2">
        <v>46032.717361111107</v>
      </c>
      <c r="C125" s="8">
        <f t="shared" si="1"/>
        <v>17</v>
      </c>
      <c r="D125" t="s">
        <v>59</v>
      </c>
      <c r="E125">
        <v>89.2</v>
      </c>
      <c r="F125" t="s">
        <v>60</v>
      </c>
    </row>
    <row r="126" spans="1:6" x14ac:dyDescent="0.3">
      <c r="A126" t="s">
        <v>29</v>
      </c>
      <c r="B126" s="2">
        <v>46078.770833333343</v>
      </c>
      <c r="C126" s="8">
        <f t="shared" si="1"/>
        <v>18</v>
      </c>
      <c r="D126" t="s">
        <v>55</v>
      </c>
      <c r="E126">
        <v>81</v>
      </c>
      <c r="F126" t="s">
        <v>54</v>
      </c>
    </row>
    <row r="127" spans="1:6" x14ac:dyDescent="0.3">
      <c r="A127" t="s">
        <v>29</v>
      </c>
      <c r="B127" s="2">
        <v>46066.70208333333</v>
      </c>
      <c r="C127" s="8">
        <f t="shared" si="1"/>
        <v>16</v>
      </c>
      <c r="D127" t="s">
        <v>53</v>
      </c>
      <c r="E127">
        <v>16.399999999999999</v>
      </c>
      <c r="F127" t="s">
        <v>60</v>
      </c>
    </row>
    <row r="128" spans="1:6" x14ac:dyDescent="0.3">
      <c r="A128" t="s">
        <v>29</v>
      </c>
      <c r="B128" s="2">
        <v>46072.463888888888</v>
      </c>
      <c r="C128" s="8">
        <f t="shared" si="1"/>
        <v>11</v>
      </c>
      <c r="D128" t="s">
        <v>55</v>
      </c>
      <c r="E128">
        <v>87.2</v>
      </c>
      <c r="F128" t="s">
        <v>61</v>
      </c>
    </row>
    <row r="129" spans="1:6" x14ac:dyDescent="0.3">
      <c r="A129" t="s">
        <v>29</v>
      </c>
      <c r="B129" s="2">
        <v>46097.013888888891</v>
      </c>
      <c r="C129" s="8">
        <f t="shared" si="1"/>
        <v>0</v>
      </c>
      <c r="D129" t="s">
        <v>53</v>
      </c>
      <c r="E129">
        <v>17.5</v>
      </c>
      <c r="F129" t="s">
        <v>54</v>
      </c>
    </row>
    <row r="130" spans="1:6" x14ac:dyDescent="0.3">
      <c r="A130" t="s">
        <v>29</v>
      </c>
      <c r="B130" s="2">
        <v>46053.190972222219</v>
      </c>
      <c r="C130" s="8">
        <f t="shared" si="1"/>
        <v>4</v>
      </c>
      <c r="D130" t="s">
        <v>59</v>
      </c>
      <c r="E130">
        <v>122</v>
      </c>
      <c r="F130" t="s">
        <v>60</v>
      </c>
    </row>
    <row r="131" spans="1:6" x14ac:dyDescent="0.3">
      <c r="A131" t="s">
        <v>29</v>
      </c>
      <c r="B131" s="2">
        <v>46031.004861111112</v>
      </c>
      <c r="C131" s="8">
        <f t="shared" ref="C131:C194" si="2">HOUR(B131)</f>
        <v>0</v>
      </c>
      <c r="D131" t="s">
        <v>53</v>
      </c>
      <c r="E131">
        <v>19.600000000000001</v>
      </c>
      <c r="F131" t="s">
        <v>54</v>
      </c>
    </row>
    <row r="132" spans="1:6" x14ac:dyDescent="0.3">
      <c r="A132" t="s">
        <v>29</v>
      </c>
      <c r="B132" s="2">
        <v>46091.775694444441</v>
      </c>
      <c r="C132" s="8">
        <f t="shared" si="2"/>
        <v>18</v>
      </c>
      <c r="D132" t="s">
        <v>55</v>
      </c>
      <c r="E132">
        <v>45.8</v>
      </c>
      <c r="F132" t="s">
        <v>54</v>
      </c>
    </row>
    <row r="133" spans="1:6" x14ac:dyDescent="0.3">
      <c r="A133" t="s">
        <v>29</v>
      </c>
      <c r="B133" s="2">
        <v>46104.263888888891</v>
      </c>
      <c r="C133" s="8">
        <f t="shared" si="2"/>
        <v>6</v>
      </c>
      <c r="D133" t="s">
        <v>53</v>
      </c>
      <c r="E133">
        <v>49.3</v>
      </c>
      <c r="F133" t="s">
        <v>61</v>
      </c>
    </row>
    <row r="134" spans="1:6" x14ac:dyDescent="0.3">
      <c r="A134" t="s">
        <v>29</v>
      </c>
      <c r="B134" s="2">
        <v>46040.744444444441</v>
      </c>
      <c r="C134" s="8">
        <f t="shared" si="2"/>
        <v>17</v>
      </c>
      <c r="D134" t="s">
        <v>53</v>
      </c>
      <c r="E134">
        <v>22.6</v>
      </c>
      <c r="F134" t="s">
        <v>56</v>
      </c>
    </row>
    <row r="135" spans="1:6" x14ac:dyDescent="0.3">
      <c r="A135" t="s">
        <v>29</v>
      </c>
      <c r="B135" s="2">
        <v>46048.76458333333</v>
      </c>
      <c r="C135" s="8">
        <f t="shared" si="2"/>
        <v>18</v>
      </c>
      <c r="D135" t="s">
        <v>55</v>
      </c>
      <c r="E135">
        <v>139.9</v>
      </c>
      <c r="F135" t="s">
        <v>60</v>
      </c>
    </row>
    <row r="136" spans="1:6" x14ac:dyDescent="0.3">
      <c r="A136" t="s">
        <v>29</v>
      </c>
      <c r="B136" s="2">
        <v>46056.124305555553</v>
      </c>
      <c r="C136" s="8">
        <f t="shared" si="2"/>
        <v>2</v>
      </c>
      <c r="D136" t="s">
        <v>53</v>
      </c>
      <c r="E136">
        <v>6</v>
      </c>
      <c r="F136" t="s">
        <v>54</v>
      </c>
    </row>
    <row r="137" spans="1:6" x14ac:dyDescent="0.3">
      <c r="A137" t="s">
        <v>29</v>
      </c>
      <c r="B137" s="2">
        <v>46066.180555555547</v>
      </c>
      <c r="C137" s="8">
        <f t="shared" si="2"/>
        <v>4</v>
      </c>
      <c r="D137" t="s">
        <v>53</v>
      </c>
      <c r="E137">
        <v>21.3</v>
      </c>
      <c r="F137" t="s">
        <v>56</v>
      </c>
    </row>
    <row r="138" spans="1:6" x14ac:dyDescent="0.3">
      <c r="A138" t="s">
        <v>29</v>
      </c>
      <c r="B138" s="2">
        <v>46039.424305555563</v>
      </c>
      <c r="C138" s="8">
        <f t="shared" si="2"/>
        <v>10</v>
      </c>
      <c r="D138" t="s">
        <v>55</v>
      </c>
      <c r="E138">
        <v>30.5</v>
      </c>
      <c r="F138" t="s">
        <v>62</v>
      </c>
    </row>
    <row r="139" spans="1:6" x14ac:dyDescent="0.3">
      <c r="A139" t="s">
        <v>29</v>
      </c>
      <c r="B139" s="2">
        <v>46087.791666666657</v>
      </c>
      <c r="C139" s="8">
        <f t="shared" si="2"/>
        <v>19</v>
      </c>
      <c r="D139" t="s">
        <v>57</v>
      </c>
      <c r="E139">
        <v>29.1</v>
      </c>
      <c r="F139" t="s">
        <v>56</v>
      </c>
    </row>
    <row r="140" spans="1:6" x14ac:dyDescent="0.3">
      <c r="A140" t="s">
        <v>29</v>
      </c>
      <c r="B140" s="2">
        <v>46062.40902777778</v>
      </c>
      <c r="C140" s="8">
        <f t="shared" si="2"/>
        <v>9</v>
      </c>
      <c r="D140" t="s">
        <v>59</v>
      </c>
      <c r="E140">
        <v>114.4</v>
      </c>
      <c r="F140" t="s">
        <v>56</v>
      </c>
    </row>
    <row r="141" spans="1:6" x14ac:dyDescent="0.3">
      <c r="A141" t="s">
        <v>29</v>
      </c>
      <c r="B141" s="2">
        <v>46107.988194444442</v>
      </c>
      <c r="C141" s="8">
        <f t="shared" si="2"/>
        <v>23</v>
      </c>
      <c r="D141" t="s">
        <v>57</v>
      </c>
      <c r="E141">
        <v>37.200000000000003</v>
      </c>
      <c r="F141" t="s">
        <v>54</v>
      </c>
    </row>
    <row r="142" spans="1:6" x14ac:dyDescent="0.3">
      <c r="A142" t="s">
        <v>29</v>
      </c>
      <c r="B142" s="2">
        <v>46094.352083333331</v>
      </c>
      <c r="C142" s="8">
        <f t="shared" si="2"/>
        <v>8</v>
      </c>
      <c r="D142" t="s">
        <v>59</v>
      </c>
      <c r="E142">
        <v>21.8</v>
      </c>
      <c r="F142" t="s">
        <v>61</v>
      </c>
    </row>
    <row r="143" spans="1:6" x14ac:dyDescent="0.3">
      <c r="A143" t="s">
        <v>29</v>
      </c>
      <c r="B143" s="2">
        <v>46099.059027777781</v>
      </c>
      <c r="C143" s="8">
        <f t="shared" si="2"/>
        <v>1</v>
      </c>
      <c r="D143" t="s">
        <v>53</v>
      </c>
      <c r="E143">
        <v>47.9</v>
      </c>
      <c r="F143" t="s">
        <v>58</v>
      </c>
    </row>
    <row r="144" spans="1:6" x14ac:dyDescent="0.3">
      <c r="A144" t="s">
        <v>23</v>
      </c>
      <c r="B144" s="2">
        <v>46076.459027777782</v>
      </c>
      <c r="C144" s="8">
        <f t="shared" si="2"/>
        <v>11</v>
      </c>
      <c r="D144" t="s">
        <v>57</v>
      </c>
      <c r="E144">
        <v>53.6</v>
      </c>
      <c r="F144" t="s">
        <v>58</v>
      </c>
    </row>
    <row r="145" spans="1:6" x14ac:dyDescent="0.3">
      <c r="A145" t="s">
        <v>23</v>
      </c>
      <c r="B145" s="2">
        <v>46030.502083333333</v>
      </c>
      <c r="C145" s="8">
        <f t="shared" si="2"/>
        <v>12</v>
      </c>
      <c r="D145" t="s">
        <v>53</v>
      </c>
      <c r="E145">
        <v>21.4</v>
      </c>
      <c r="F145" t="s">
        <v>58</v>
      </c>
    </row>
    <row r="146" spans="1:6" x14ac:dyDescent="0.3">
      <c r="A146" t="s">
        <v>23</v>
      </c>
      <c r="B146" s="2">
        <v>46029.213194444441</v>
      </c>
      <c r="C146" s="8">
        <f t="shared" si="2"/>
        <v>5</v>
      </c>
      <c r="D146" t="s">
        <v>59</v>
      </c>
      <c r="E146">
        <v>75.7</v>
      </c>
      <c r="F146" t="s">
        <v>58</v>
      </c>
    </row>
    <row r="147" spans="1:6" x14ac:dyDescent="0.3">
      <c r="A147" t="s">
        <v>23</v>
      </c>
      <c r="B147" s="2">
        <v>46070.318055555559</v>
      </c>
      <c r="C147" s="8">
        <f t="shared" si="2"/>
        <v>7</v>
      </c>
      <c r="D147" t="s">
        <v>59</v>
      </c>
      <c r="E147">
        <v>80.2</v>
      </c>
      <c r="F147" t="s">
        <v>60</v>
      </c>
    </row>
    <row r="148" spans="1:6" x14ac:dyDescent="0.3">
      <c r="A148" t="s">
        <v>23</v>
      </c>
      <c r="B148" s="2">
        <v>46050.667361111111</v>
      </c>
      <c r="C148" s="8">
        <f t="shared" si="2"/>
        <v>16</v>
      </c>
      <c r="D148" t="s">
        <v>55</v>
      </c>
      <c r="E148">
        <v>122.2</v>
      </c>
      <c r="F148" t="s">
        <v>58</v>
      </c>
    </row>
    <row r="149" spans="1:6" x14ac:dyDescent="0.3">
      <c r="A149" t="s">
        <v>23</v>
      </c>
      <c r="B149" s="2">
        <v>46059.871527777781</v>
      </c>
      <c r="C149" s="8">
        <f t="shared" si="2"/>
        <v>20</v>
      </c>
      <c r="D149" t="s">
        <v>55</v>
      </c>
      <c r="E149">
        <v>77.099999999999994</v>
      </c>
      <c r="F149" t="s">
        <v>56</v>
      </c>
    </row>
    <row r="150" spans="1:6" x14ac:dyDescent="0.3">
      <c r="A150" t="s">
        <v>23</v>
      </c>
      <c r="B150" s="2">
        <v>46040.093055555553</v>
      </c>
      <c r="C150" s="8">
        <f t="shared" si="2"/>
        <v>2</v>
      </c>
      <c r="D150" t="s">
        <v>53</v>
      </c>
      <c r="E150">
        <v>60</v>
      </c>
      <c r="F150" t="s">
        <v>62</v>
      </c>
    </row>
    <row r="151" spans="1:6" x14ac:dyDescent="0.3">
      <c r="A151" t="s">
        <v>23</v>
      </c>
      <c r="B151" s="2">
        <v>46026.27847222222</v>
      </c>
      <c r="C151" s="8">
        <f t="shared" si="2"/>
        <v>6</v>
      </c>
      <c r="D151" t="s">
        <v>57</v>
      </c>
      <c r="E151">
        <v>14.4</v>
      </c>
      <c r="F151" t="s">
        <v>60</v>
      </c>
    </row>
    <row r="152" spans="1:6" x14ac:dyDescent="0.3">
      <c r="A152" t="s">
        <v>23</v>
      </c>
      <c r="B152" s="2">
        <v>46066.279861111107</v>
      </c>
      <c r="C152" s="8">
        <f t="shared" si="2"/>
        <v>6</v>
      </c>
      <c r="D152" t="s">
        <v>53</v>
      </c>
      <c r="E152">
        <v>26.9</v>
      </c>
      <c r="F152" t="s">
        <v>54</v>
      </c>
    </row>
    <row r="153" spans="1:6" x14ac:dyDescent="0.3">
      <c r="A153" t="s">
        <v>23</v>
      </c>
      <c r="B153" s="2">
        <v>46081.921527777777</v>
      </c>
      <c r="C153" s="8">
        <f t="shared" si="2"/>
        <v>22</v>
      </c>
      <c r="D153" t="s">
        <v>59</v>
      </c>
      <c r="E153">
        <v>84.7</v>
      </c>
      <c r="F153" t="s">
        <v>60</v>
      </c>
    </row>
    <row r="154" spans="1:6" x14ac:dyDescent="0.3">
      <c r="A154" t="s">
        <v>23</v>
      </c>
      <c r="B154" s="2">
        <v>46032.104166666657</v>
      </c>
      <c r="C154" s="8">
        <f t="shared" si="2"/>
        <v>2</v>
      </c>
      <c r="D154" t="s">
        <v>57</v>
      </c>
      <c r="E154">
        <v>29.5</v>
      </c>
      <c r="F154" t="s">
        <v>56</v>
      </c>
    </row>
    <row r="155" spans="1:6" x14ac:dyDescent="0.3">
      <c r="A155" t="s">
        <v>23</v>
      </c>
      <c r="B155" s="2">
        <v>46101.659722222219</v>
      </c>
      <c r="C155" s="8">
        <f t="shared" si="2"/>
        <v>15</v>
      </c>
      <c r="D155" t="s">
        <v>53</v>
      </c>
      <c r="E155">
        <v>44.6</v>
      </c>
      <c r="F155" t="s">
        <v>56</v>
      </c>
    </row>
    <row r="156" spans="1:6" x14ac:dyDescent="0.3">
      <c r="A156" t="s">
        <v>23</v>
      </c>
      <c r="B156" s="2">
        <v>46093.496527777781</v>
      </c>
      <c r="C156" s="8">
        <f t="shared" si="2"/>
        <v>11</v>
      </c>
      <c r="D156" t="s">
        <v>59</v>
      </c>
      <c r="E156">
        <v>35.1</v>
      </c>
      <c r="F156" t="s">
        <v>61</v>
      </c>
    </row>
    <row r="157" spans="1:6" x14ac:dyDescent="0.3">
      <c r="A157" t="s">
        <v>23</v>
      </c>
      <c r="B157" s="2">
        <v>46027.740277777782</v>
      </c>
      <c r="C157" s="8">
        <f t="shared" si="2"/>
        <v>17</v>
      </c>
      <c r="D157" t="s">
        <v>57</v>
      </c>
      <c r="E157">
        <v>31.3</v>
      </c>
      <c r="F157" t="s">
        <v>58</v>
      </c>
    </row>
    <row r="158" spans="1:6" x14ac:dyDescent="0.3">
      <c r="A158" t="s">
        <v>17</v>
      </c>
      <c r="B158" s="2">
        <v>46088.07916666667</v>
      </c>
      <c r="C158" s="8">
        <f t="shared" si="2"/>
        <v>1</v>
      </c>
      <c r="D158" t="s">
        <v>57</v>
      </c>
      <c r="E158">
        <v>44.9</v>
      </c>
      <c r="F158" t="s">
        <v>54</v>
      </c>
    </row>
    <row r="159" spans="1:6" x14ac:dyDescent="0.3">
      <c r="A159" t="s">
        <v>17</v>
      </c>
      <c r="B159" s="2">
        <v>46031.379861111112</v>
      </c>
      <c r="C159" s="8">
        <f t="shared" si="2"/>
        <v>9</v>
      </c>
      <c r="D159" t="s">
        <v>55</v>
      </c>
      <c r="E159">
        <v>85.4</v>
      </c>
      <c r="F159" t="s">
        <v>60</v>
      </c>
    </row>
    <row r="160" spans="1:6" x14ac:dyDescent="0.3">
      <c r="A160" t="s">
        <v>17</v>
      </c>
      <c r="B160" s="2">
        <v>46087.02847222222</v>
      </c>
      <c r="C160" s="8">
        <f t="shared" si="2"/>
        <v>0</v>
      </c>
      <c r="D160" t="s">
        <v>55</v>
      </c>
      <c r="E160">
        <v>30.4</v>
      </c>
      <c r="F160" t="s">
        <v>61</v>
      </c>
    </row>
    <row r="161" spans="1:6" x14ac:dyDescent="0.3">
      <c r="A161" t="s">
        <v>17</v>
      </c>
      <c r="B161" s="2">
        <v>46077.637499999997</v>
      </c>
      <c r="C161" s="8">
        <f t="shared" si="2"/>
        <v>15</v>
      </c>
      <c r="D161" t="s">
        <v>57</v>
      </c>
      <c r="E161">
        <v>26.3</v>
      </c>
      <c r="F161" t="s">
        <v>62</v>
      </c>
    </row>
    <row r="162" spans="1:6" x14ac:dyDescent="0.3">
      <c r="A162" t="s">
        <v>17</v>
      </c>
      <c r="B162" s="2">
        <v>46030.349305555559</v>
      </c>
      <c r="C162" s="8">
        <f t="shared" si="2"/>
        <v>8</v>
      </c>
      <c r="D162" t="s">
        <v>57</v>
      </c>
      <c r="E162">
        <v>18.899999999999999</v>
      </c>
      <c r="F162" t="s">
        <v>54</v>
      </c>
    </row>
    <row r="163" spans="1:6" x14ac:dyDescent="0.3">
      <c r="A163" t="s">
        <v>17</v>
      </c>
      <c r="B163" s="2">
        <v>46029.754166666673</v>
      </c>
      <c r="C163" s="8">
        <f t="shared" si="2"/>
        <v>18</v>
      </c>
      <c r="D163" t="s">
        <v>53</v>
      </c>
      <c r="E163">
        <v>49.1</v>
      </c>
      <c r="F163" t="s">
        <v>58</v>
      </c>
    </row>
    <row r="164" spans="1:6" x14ac:dyDescent="0.3">
      <c r="A164" t="s">
        <v>17</v>
      </c>
      <c r="B164" s="2">
        <v>46069.450694444437</v>
      </c>
      <c r="C164" s="8">
        <f t="shared" si="2"/>
        <v>10</v>
      </c>
      <c r="D164" t="s">
        <v>57</v>
      </c>
      <c r="E164">
        <v>58.4</v>
      </c>
      <c r="F164" t="s">
        <v>60</v>
      </c>
    </row>
    <row r="165" spans="1:6" x14ac:dyDescent="0.3">
      <c r="A165" t="s">
        <v>17</v>
      </c>
      <c r="B165" s="2">
        <v>46052.447222222218</v>
      </c>
      <c r="C165" s="8">
        <f t="shared" si="2"/>
        <v>10</v>
      </c>
      <c r="D165" t="s">
        <v>53</v>
      </c>
      <c r="E165">
        <v>45.5</v>
      </c>
      <c r="F165" t="s">
        <v>54</v>
      </c>
    </row>
    <row r="166" spans="1:6" x14ac:dyDescent="0.3">
      <c r="A166" t="s">
        <v>17</v>
      </c>
      <c r="B166" s="2">
        <v>46050.09097222222</v>
      </c>
      <c r="C166" s="8">
        <f t="shared" si="2"/>
        <v>2</v>
      </c>
      <c r="D166" t="s">
        <v>53</v>
      </c>
      <c r="E166">
        <v>28.9</v>
      </c>
      <c r="F166" t="s">
        <v>54</v>
      </c>
    </row>
    <row r="167" spans="1:6" x14ac:dyDescent="0.3">
      <c r="A167" t="s">
        <v>17</v>
      </c>
      <c r="B167" s="2">
        <v>46070.602777777778</v>
      </c>
      <c r="C167" s="8">
        <f t="shared" si="2"/>
        <v>14</v>
      </c>
      <c r="D167" t="s">
        <v>53</v>
      </c>
      <c r="E167">
        <v>13.3</v>
      </c>
      <c r="F167" t="s">
        <v>56</v>
      </c>
    </row>
    <row r="168" spans="1:6" x14ac:dyDescent="0.3">
      <c r="A168" t="s">
        <v>17</v>
      </c>
      <c r="B168" s="2">
        <v>46079.943749999999</v>
      </c>
      <c r="C168" s="8">
        <f t="shared" si="2"/>
        <v>22</v>
      </c>
      <c r="D168" t="s">
        <v>55</v>
      </c>
      <c r="E168">
        <v>146</v>
      </c>
      <c r="F168" t="s">
        <v>54</v>
      </c>
    </row>
    <row r="169" spans="1:6" x14ac:dyDescent="0.3">
      <c r="A169" t="s">
        <v>17</v>
      </c>
      <c r="B169" s="2">
        <v>46069.135416666657</v>
      </c>
      <c r="C169" s="8">
        <f t="shared" si="2"/>
        <v>3</v>
      </c>
      <c r="D169" t="s">
        <v>55</v>
      </c>
      <c r="E169">
        <v>21.8</v>
      </c>
      <c r="F169" t="s">
        <v>54</v>
      </c>
    </row>
    <row r="170" spans="1:6" x14ac:dyDescent="0.3">
      <c r="A170" t="s">
        <v>17</v>
      </c>
      <c r="B170" s="2">
        <v>46108.959027777782</v>
      </c>
      <c r="C170" s="8">
        <f t="shared" si="2"/>
        <v>23</v>
      </c>
      <c r="D170" t="s">
        <v>57</v>
      </c>
      <c r="E170">
        <v>21.3</v>
      </c>
      <c r="F170" t="s">
        <v>61</v>
      </c>
    </row>
    <row r="171" spans="1:6" x14ac:dyDescent="0.3">
      <c r="A171" t="s">
        <v>17</v>
      </c>
      <c r="B171" s="2">
        <v>46098.35833333333</v>
      </c>
      <c r="C171" s="8">
        <f t="shared" si="2"/>
        <v>8</v>
      </c>
      <c r="D171" t="s">
        <v>57</v>
      </c>
      <c r="E171">
        <v>22</v>
      </c>
      <c r="F171" t="s">
        <v>56</v>
      </c>
    </row>
    <row r="172" spans="1:6" x14ac:dyDescent="0.3">
      <c r="A172" t="s">
        <v>17</v>
      </c>
      <c r="B172" s="2">
        <v>46031.868055555547</v>
      </c>
      <c r="C172" s="8">
        <f t="shared" si="2"/>
        <v>20</v>
      </c>
      <c r="D172" t="s">
        <v>57</v>
      </c>
      <c r="E172">
        <v>24.6</v>
      </c>
      <c r="F172" t="s">
        <v>58</v>
      </c>
    </row>
    <row r="173" spans="1:6" x14ac:dyDescent="0.3">
      <c r="A173" t="s">
        <v>17</v>
      </c>
      <c r="B173" s="2">
        <v>46046.418749999997</v>
      </c>
      <c r="C173" s="8">
        <f t="shared" si="2"/>
        <v>10</v>
      </c>
      <c r="D173" t="s">
        <v>57</v>
      </c>
      <c r="E173">
        <v>28.6</v>
      </c>
      <c r="F173" t="s">
        <v>56</v>
      </c>
    </row>
    <row r="174" spans="1:6" x14ac:dyDescent="0.3">
      <c r="A174" t="s">
        <v>17</v>
      </c>
      <c r="B174" s="2">
        <v>46065.707638888889</v>
      </c>
      <c r="C174" s="8">
        <f t="shared" si="2"/>
        <v>16</v>
      </c>
      <c r="D174" t="s">
        <v>57</v>
      </c>
      <c r="E174">
        <v>38.5</v>
      </c>
      <c r="F174" t="s">
        <v>58</v>
      </c>
    </row>
    <row r="175" spans="1:6" x14ac:dyDescent="0.3">
      <c r="A175" t="s">
        <v>39</v>
      </c>
      <c r="B175" s="2">
        <v>46091.722916666673</v>
      </c>
      <c r="C175" s="8">
        <f t="shared" si="2"/>
        <v>17</v>
      </c>
      <c r="D175" t="s">
        <v>55</v>
      </c>
      <c r="E175">
        <v>130.80000000000001</v>
      </c>
      <c r="F175" t="s">
        <v>56</v>
      </c>
    </row>
    <row r="176" spans="1:6" x14ac:dyDescent="0.3">
      <c r="A176" t="s">
        <v>39</v>
      </c>
      <c r="B176" s="2">
        <v>46082.041666666657</v>
      </c>
      <c r="C176" s="8">
        <f t="shared" si="2"/>
        <v>1</v>
      </c>
      <c r="D176" t="s">
        <v>57</v>
      </c>
      <c r="E176">
        <v>30.1</v>
      </c>
      <c r="F176" t="s">
        <v>54</v>
      </c>
    </row>
    <row r="177" spans="1:6" x14ac:dyDescent="0.3">
      <c r="A177" t="s">
        <v>39</v>
      </c>
      <c r="B177" s="2">
        <v>46026.427777777782</v>
      </c>
      <c r="C177" s="8">
        <f t="shared" si="2"/>
        <v>10</v>
      </c>
      <c r="D177" t="s">
        <v>53</v>
      </c>
      <c r="E177">
        <v>6.8</v>
      </c>
      <c r="F177" t="s">
        <v>60</v>
      </c>
    </row>
    <row r="178" spans="1:6" x14ac:dyDescent="0.3">
      <c r="A178" t="s">
        <v>39</v>
      </c>
      <c r="B178" s="2">
        <v>46032.663194444453</v>
      </c>
      <c r="C178" s="8">
        <f t="shared" si="2"/>
        <v>15</v>
      </c>
      <c r="D178" t="s">
        <v>59</v>
      </c>
      <c r="E178">
        <v>57.3</v>
      </c>
      <c r="F178" t="s">
        <v>58</v>
      </c>
    </row>
    <row r="179" spans="1:6" x14ac:dyDescent="0.3">
      <c r="A179" t="s">
        <v>39</v>
      </c>
      <c r="B179" s="2">
        <v>46068.882638888892</v>
      </c>
      <c r="C179" s="8">
        <f t="shared" si="2"/>
        <v>21</v>
      </c>
      <c r="D179" t="s">
        <v>57</v>
      </c>
      <c r="E179">
        <v>26.3</v>
      </c>
      <c r="F179" t="s">
        <v>58</v>
      </c>
    </row>
    <row r="180" spans="1:6" x14ac:dyDescent="0.3">
      <c r="A180" t="s">
        <v>39</v>
      </c>
      <c r="B180" s="2">
        <v>46063.069444444453</v>
      </c>
      <c r="C180" s="8">
        <f t="shared" si="2"/>
        <v>1</v>
      </c>
      <c r="D180" t="s">
        <v>53</v>
      </c>
      <c r="E180">
        <v>52.6</v>
      </c>
      <c r="F180" t="s">
        <v>61</v>
      </c>
    </row>
    <row r="181" spans="1:6" x14ac:dyDescent="0.3">
      <c r="A181" t="s">
        <v>39</v>
      </c>
      <c r="B181" s="2">
        <v>46032.480555555558</v>
      </c>
      <c r="C181" s="8">
        <f t="shared" si="2"/>
        <v>11</v>
      </c>
      <c r="D181" t="s">
        <v>53</v>
      </c>
      <c r="E181">
        <v>10.6</v>
      </c>
      <c r="F181" t="s">
        <v>62</v>
      </c>
    </row>
    <row r="182" spans="1:6" x14ac:dyDescent="0.3">
      <c r="A182" t="s">
        <v>39</v>
      </c>
      <c r="B182" s="2">
        <v>46071.972916666673</v>
      </c>
      <c r="C182" s="8">
        <f t="shared" si="2"/>
        <v>23</v>
      </c>
      <c r="D182" t="s">
        <v>55</v>
      </c>
      <c r="E182">
        <v>65.400000000000006</v>
      </c>
      <c r="F182" t="s">
        <v>62</v>
      </c>
    </row>
    <row r="183" spans="1:6" x14ac:dyDescent="0.3">
      <c r="A183" t="s">
        <v>39</v>
      </c>
      <c r="B183" s="2">
        <v>46052.736111111109</v>
      </c>
      <c r="C183" s="8">
        <f t="shared" si="2"/>
        <v>17</v>
      </c>
      <c r="D183" t="s">
        <v>57</v>
      </c>
      <c r="E183">
        <v>48.6</v>
      </c>
      <c r="F183" t="s">
        <v>58</v>
      </c>
    </row>
    <row r="184" spans="1:6" x14ac:dyDescent="0.3">
      <c r="A184" t="s">
        <v>39</v>
      </c>
      <c r="B184" s="2">
        <v>46071.966666666667</v>
      </c>
      <c r="C184" s="8">
        <f t="shared" si="2"/>
        <v>23</v>
      </c>
      <c r="D184" t="s">
        <v>59</v>
      </c>
      <c r="E184">
        <v>28.3</v>
      </c>
      <c r="F184" t="s">
        <v>61</v>
      </c>
    </row>
    <row r="185" spans="1:6" x14ac:dyDescent="0.3">
      <c r="A185" t="s">
        <v>39</v>
      </c>
      <c r="B185" s="2">
        <v>46062.44027777778</v>
      </c>
      <c r="C185" s="8">
        <f t="shared" si="2"/>
        <v>10</v>
      </c>
      <c r="D185" t="s">
        <v>55</v>
      </c>
      <c r="E185">
        <v>107</v>
      </c>
      <c r="F185" t="s">
        <v>60</v>
      </c>
    </row>
    <row r="186" spans="1:6" x14ac:dyDescent="0.3">
      <c r="A186" t="s">
        <v>39</v>
      </c>
      <c r="B186" s="2">
        <v>46099.847916666673</v>
      </c>
      <c r="C186" s="8">
        <f t="shared" si="2"/>
        <v>20</v>
      </c>
      <c r="D186" t="s">
        <v>59</v>
      </c>
      <c r="E186">
        <v>89.7</v>
      </c>
      <c r="F186" t="s">
        <v>56</v>
      </c>
    </row>
    <row r="187" spans="1:6" x14ac:dyDescent="0.3">
      <c r="A187" t="s">
        <v>39</v>
      </c>
      <c r="B187" s="2">
        <v>46038.774305555547</v>
      </c>
      <c r="C187" s="8">
        <f t="shared" si="2"/>
        <v>18</v>
      </c>
      <c r="D187" t="s">
        <v>53</v>
      </c>
      <c r="E187">
        <v>24</v>
      </c>
      <c r="F187" t="s">
        <v>61</v>
      </c>
    </row>
    <row r="188" spans="1:6" x14ac:dyDescent="0.3">
      <c r="A188" t="s">
        <v>39</v>
      </c>
      <c r="B188" s="2">
        <v>46075.85833333333</v>
      </c>
      <c r="C188" s="8">
        <f t="shared" si="2"/>
        <v>20</v>
      </c>
      <c r="D188" t="s">
        <v>55</v>
      </c>
      <c r="E188">
        <v>93.9</v>
      </c>
      <c r="F188" t="s">
        <v>58</v>
      </c>
    </row>
    <row r="189" spans="1:6" x14ac:dyDescent="0.3">
      <c r="A189" t="s">
        <v>39</v>
      </c>
      <c r="B189" s="2">
        <v>46080.679166666669</v>
      </c>
      <c r="C189" s="8">
        <f t="shared" si="2"/>
        <v>16</v>
      </c>
      <c r="D189" t="s">
        <v>55</v>
      </c>
      <c r="E189">
        <v>119.5</v>
      </c>
      <c r="F189" t="s">
        <v>62</v>
      </c>
    </row>
    <row r="190" spans="1:6" x14ac:dyDescent="0.3">
      <c r="A190" t="s">
        <v>15</v>
      </c>
      <c r="B190" s="2">
        <v>46024.724999999999</v>
      </c>
      <c r="C190" s="8">
        <f t="shared" si="2"/>
        <v>17</v>
      </c>
      <c r="D190" t="s">
        <v>59</v>
      </c>
      <c r="E190">
        <v>91.1</v>
      </c>
      <c r="F190" t="s">
        <v>61</v>
      </c>
    </row>
    <row r="191" spans="1:6" x14ac:dyDescent="0.3">
      <c r="A191" t="s">
        <v>15</v>
      </c>
      <c r="B191" s="2">
        <v>46071.677777777782</v>
      </c>
      <c r="C191" s="8">
        <f t="shared" si="2"/>
        <v>16</v>
      </c>
      <c r="D191" t="s">
        <v>57</v>
      </c>
      <c r="E191">
        <v>52.1</v>
      </c>
      <c r="F191" t="s">
        <v>58</v>
      </c>
    </row>
    <row r="192" spans="1:6" x14ac:dyDescent="0.3">
      <c r="A192" t="s">
        <v>15</v>
      </c>
      <c r="B192" s="2">
        <v>46080.127083333333</v>
      </c>
      <c r="C192" s="8">
        <f t="shared" si="2"/>
        <v>3</v>
      </c>
      <c r="D192" t="s">
        <v>53</v>
      </c>
      <c r="E192">
        <v>46.9</v>
      </c>
      <c r="F192" t="s">
        <v>58</v>
      </c>
    </row>
    <row r="193" spans="1:6" x14ac:dyDescent="0.3">
      <c r="A193" t="s">
        <v>15</v>
      </c>
      <c r="B193" s="2">
        <v>46112.415972222218</v>
      </c>
      <c r="C193" s="8">
        <f t="shared" si="2"/>
        <v>9</v>
      </c>
      <c r="D193" t="s">
        <v>57</v>
      </c>
      <c r="E193">
        <v>21.7</v>
      </c>
      <c r="F193" t="s">
        <v>62</v>
      </c>
    </row>
    <row r="194" spans="1:6" x14ac:dyDescent="0.3">
      <c r="A194" t="s">
        <v>15</v>
      </c>
      <c r="B194" s="2">
        <v>46027.804166666669</v>
      </c>
      <c r="C194" s="8">
        <f t="shared" si="2"/>
        <v>19</v>
      </c>
      <c r="D194" t="s">
        <v>55</v>
      </c>
      <c r="E194">
        <v>60.8</v>
      </c>
      <c r="F194" t="s">
        <v>54</v>
      </c>
    </row>
    <row r="195" spans="1:6" x14ac:dyDescent="0.3">
      <c r="A195" t="s">
        <v>15</v>
      </c>
      <c r="B195" s="2">
        <v>46091.461111111108</v>
      </c>
      <c r="C195" s="8">
        <f t="shared" ref="C195:C258" si="3">HOUR(B195)</f>
        <v>11</v>
      </c>
      <c r="D195" t="s">
        <v>57</v>
      </c>
      <c r="E195">
        <v>9.9</v>
      </c>
      <c r="F195" t="s">
        <v>54</v>
      </c>
    </row>
    <row r="196" spans="1:6" x14ac:dyDescent="0.3">
      <c r="A196" t="s">
        <v>15</v>
      </c>
      <c r="B196" s="2">
        <v>46107.879166666673</v>
      </c>
      <c r="C196" s="8">
        <f t="shared" si="3"/>
        <v>21</v>
      </c>
      <c r="D196" t="s">
        <v>59</v>
      </c>
      <c r="E196">
        <v>25.7</v>
      </c>
      <c r="F196" t="s">
        <v>56</v>
      </c>
    </row>
    <row r="197" spans="1:6" x14ac:dyDescent="0.3">
      <c r="A197" t="s">
        <v>15</v>
      </c>
      <c r="B197" s="2">
        <v>46106.347916666673</v>
      </c>
      <c r="C197" s="8">
        <f t="shared" si="3"/>
        <v>8</v>
      </c>
      <c r="D197" t="s">
        <v>53</v>
      </c>
      <c r="E197">
        <v>14.7</v>
      </c>
      <c r="F197" t="s">
        <v>54</v>
      </c>
    </row>
    <row r="198" spans="1:6" x14ac:dyDescent="0.3">
      <c r="A198" t="s">
        <v>15</v>
      </c>
      <c r="B198" s="2">
        <v>46104.015277777777</v>
      </c>
      <c r="C198" s="8">
        <f t="shared" si="3"/>
        <v>0</v>
      </c>
      <c r="D198" t="s">
        <v>57</v>
      </c>
      <c r="E198">
        <v>19.8</v>
      </c>
      <c r="F198" t="s">
        <v>62</v>
      </c>
    </row>
    <row r="199" spans="1:6" x14ac:dyDescent="0.3">
      <c r="A199" t="s">
        <v>15</v>
      </c>
      <c r="B199" s="2">
        <v>46074.938194444447</v>
      </c>
      <c r="C199" s="8">
        <f t="shared" si="3"/>
        <v>22</v>
      </c>
      <c r="D199" t="s">
        <v>59</v>
      </c>
      <c r="E199">
        <v>123.8</v>
      </c>
      <c r="F199" t="s">
        <v>56</v>
      </c>
    </row>
    <row r="200" spans="1:6" x14ac:dyDescent="0.3">
      <c r="A200" t="s">
        <v>15</v>
      </c>
      <c r="B200" s="2">
        <v>46105.873611111107</v>
      </c>
      <c r="C200" s="8">
        <f t="shared" si="3"/>
        <v>20</v>
      </c>
      <c r="D200" t="s">
        <v>53</v>
      </c>
      <c r="E200">
        <v>56.1</v>
      </c>
      <c r="F200" t="s">
        <v>58</v>
      </c>
    </row>
    <row r="201" spans="1:6" x14ac:dyDescent="0.3">
      <c r="A201" t="s">
        <v>15</v>
      </c>
      <c r="B201" s="2">
        <v>46042.228472222218</v>
      </c>
      <c r="C201" s="8">
        <f t="shared" si="3"/>
        <v>5</v>
      </c>
      <c r="D201" t="s">
        <v>55</v>
      </c>
      <c r="E201">
        <v>100.2</v>
      </c>
      <c r="F201" t="s">
        <v>60</v>
      </c>
    </row>
    <row r="202" spans="1:6" x14ac:dyDescent="0.3">
      <c r="A202" t="s">
        <v>15</v>
      </c>
      <c r="B202" s="2">
        <v>46078.984722222223</v>
      </c>
      <c r="C202" s="8">
        <f t="shared" si="3"/>
        <v>23</v>
      </c>
      <c r="D202" t="s">
        <v>57</v>
      </c>
      <c r="E202">
        <v>55.3</v>
      </c>
      <c r="F202" t="s">
        <v>56</v>
      </c>
    </row>
    <row r="203" spans="1:6" x14ac:dyDescent="0.3">
      <c r="A203" t="s">
        <v>15</v>
      </c>
      <c r="B203" s="2">
        <v>46052.147916666669</v>
      </c>
      <c r="C203" s="8">
        <f t="shared" si="3"/>
        <v>3</v>
      </c>
      <c r="D203" t="s">
        <v>53</v>
      </c>
      <c r="E203">
        <v>7.2</v>
      </c>
      <c r="F203" t="s">
        <v>60</v>
      </c>
    </row>
    <row r="204" spans="1:6" x14ac:dyDescent="0.3">
      <c r="A204" t="s">
        <v>15</v>
      </c>
      <c r="B204" s="2">
        <v>46108.75277777778</v>
      </c>
      <c r="C204" s="8">
        <f t="shared" si="3"/>
        <v>18</v>
      </c>
      <c r="D204" t="s">
        <v>57</v>
      </c>
      <c r="E204">
        <v>47.1</v>
      </c>
      <c r="F204" t="s">
        <v>56</v>
      </c>
    </row>
    <row r="205" spans="1:6" x14ac:dyDescent="0.3">
      <c r="A205" t="s">
        <v>15</v>
      </c>
      <c r="B205" s="2">
        <v>46027.952777777777</v>
      </c>
      <c r="C205" s="8">
        <f t="shared" si="3"/>
        <v>22</v>
      </c>
      <c r="D205" t="s">
        <v>53</v>
      </c>
      <c r="E205">
        <v>30</v>
      </c>
      <c r="F205" t="s">
        <v>56</v>
      </c>
    </row>
    <row r="206" spans="1:6" x14ac:dyDescent="0.3">
      <c r="A206" t="s">
        <v>15</v>
      </c>
      <c r="B206" s="2">
        <v>46045.820138888892</v>
      </c>
      <c r="C206" s="8">
        <f t="shared" si="3"/>
        <v>19</v>
      </c>
      <c r="D206" t="s">
        <v>59</v>
      </c>
      <c r="E206">
        <v>48.8</v>
      </c>
      <c r="F206" t="s">
        <v>61</v>
      </c>
    </row>
    <row r="207" spans="1:6" x14ac:dyDescent="0.3">
      <c r="A207" t="s">
        <v>15</v>
      </c>
      <c r="B207" s="2">
        <v>46102.627083333333</v>
      </c>
      <c r="C207" s="8">
        <f t="shared" si="3"/>
        <v>15</v>
      </c>
      <c r="D207" t="s">
        <v>55</v>
      </c>
      <c r="E207">
        <v>57</v>
      </c>
      <c r="F207" t="s">
        <v>61</v>
      </c>
    </row>
    <row r="208" spans="1:6" x14ac:dyDescent="0.3">
      <c r="A208" t="s">
        <v>15</v>
      </c>
      <c r="B208" s="2">
        <v>46043.431250000001</v>
      </c>
      <c r="C208" s="8">
        <f t="shared" si="3"/>
        <v>10</v>
      </c>
      <c r="D208" t="s">
        <v>53</v>
      </c>
      <c r="E208">
        <v>12.3</v>
      </c>
      <c r="F208" t="s">
        <v>56</v>
      </c>
    </row>
    <row r="209" spans="1:6" x14ac:dyDescent="0.3">
      <c r="A209" t="s">
        <v>35</v>
      </c>
      <c r="B209" s="2">
        <v>46069.912499999999</v>
      </c>
      <c r="C209" s="8">
        <f t="shared" si="3"/>
        <v>21</v>
      </c>
      <c r="D209" t="s">
        <v>53</v>
      </c>
      <c r="E209">
        <v>22.4</v>
      </c>
      <c r="F209" t="s">
        <v>56</v>
      </c>
    </row>
    <row r="210" spans="1:6" x14ac:dyDescent="0.3">
      <c r="A210" t="s">
        <v>35</v>
      </c>
      <c r="B210" s="2">
        <v>46066.286111111112</v>
      </c>
      <c r="C210" s="8">
        <f t="shared" si="3"/>
        <v>6</v>
      </c>
      <c r="D210" t="s">
        <v>57</v>
      </c>
      <c r="E210">
        <v>26</v>
      </c>
      <c r="F210" t="s">
        <v>54</v>
      </c>
    </row>
    <row r="211" spans="1:6" x14ac:dyDescent="0.3">
      <c r="A211" t="s">
        <v>35</v>
      </c>
      <c r="B211" s="2">
        <v>46089.470833333333</v>
      </c>
      <c r="C211" s="8">
        <f t="shared" si="3"/>
        <v>11</v>
      </c>
      <c r="D211" t="s">
        <v>55</v>
      </c>
      <c r="E211">
        <v>47.7</v>
      </c>
      <c r="F211" t="s">
        <v>54</v>
      </c>
    </row>
    <row r="212" spans="1:6" x14ac:dyDescent="0.3">
      <c r="A212" t="s">
        <v>35</v>
      </c>
      <c r="B212" s="2">
        <v>46078.279166666667</v>
      </c>
      <c r="C212" s="8">
        <f t="shared" si="3"/>
        <v>6</v>
      </c>
      <c r="D212" t="s">
        <v>53</v>
      </c>
      <c r="E212">
        <v>8.3000000000000007</v>
      </c>
      <c r="F212" t="s">
        <v>56</v>
      </c>
    </row>
    <row r="213" spans="1:6" x14ac:dyDescent="0.3">
      <c r="A213" t="s">
        <v>35</v>
      </c>
      <c r="B213" s="2">
        <v>46049.302083333343</v>
      </c>
      <c r="C213" s="8">
        <f t="shared" si="3"/>
        <v>7</v>
      </c>
      <c r="D213" t="s">
        <v>53</v>
      </c>
      <c r="E213">
        <v>23.8</v>
      </c>
      <c r="F213" t="s">
        <v>56</v>
      </c>
    </row>
    <row r="214" spans="1:6" x14ac:dyDescent="0.3">
      <c r="A214" t="s">
        <v>35</v>
      </c>
      <c r="B214" s="2">
        <v>46028.543749999997</v>
      </c>
      <c r="C214" s="8">
        <f t="shared" si="3"/>
        <v>13</v>
      </c>
      <c r="D214" t="s">
        <v>59</v>
      </c>
      <c r="E214">
        <v>141.69999999999999</v>
      </c>
      <c r="F214" t="s">
        <v>60</v>
      </c>
    </row>
    <row r="215" spans="1:6" x14ac:dyDescent="0.3">
      <c r="A215" t="s">
        <v>35</v>
      </c>
      <c r="B215" s="2">
        <v>46057.573611111111</v>
      </c>
      <c r="C215" s="8">
        <f t="shared" si="3"/>
        <v>13</v>
      </c>
      <c r="D215" t="s">
        <v>55</v>
      </c>
      <c r="E215">
        <v>30.3</v>
      </c>
      <c r="F215" t="s">
        <v>58</v>
      </c>
    </row>
    <row r="216" spans="1:6" x14ac:dyDescent="0.3">
      <c r="A216" t="s">
        <v>35</v>
      </c>
      <c r="B216" s="2">
        <v>46035.82916666667</v>
      </c>
      <c r="C216" s="8">
        <f t="shared" si="3"/>
        <v>19</v>
      </c>
      <c r="D216" t="s">
        <v>55</v>
      </c>
      <c r="E216">
        <v>69.8</v>
      </c>
      <c r="F216" t="s">
        <v>60</v>
      </c>
    </row>
    <row r="217" spans="1:6" x14ac:dyDescent="0.3">
      <c r="A217" t="s">
        <v>35</v>
      </c>
      <c r="B217" s="2">
        <v>46066.612500000003</v>
      </c>
      <c r="C217" s="8">
        <f t="shared" si="3"/>
        <v>14</v>
      </c>
      <c r="D217" t="s">
        <v>59</v>
      </c>
      <c r="E217">
        <v>50.9</v>
      </c>
      <c r="F217" t="s">
        <v>62</v>
      </c>
    </row>
    <row r="218" spans="1:6" x14ac:dyDescent="0.3">
      <c r="A218" t="s">
        <v>35</v>
      </c>
      <c r="B218" s="2">
        <v>46031.907638888893</v>
      </c>
      <c r="C218" s="8">
        <f t="shared" si="3"/>
        <v>21</v>
      </c>
      <c r="D218" t="s">
        <v>55</v>
      </c>
      <c r="E218">
        <v>130.19999999999999</v>
      </c>
      <c r="F218" t="s">
        <v>61</v>
      </c>
    </row>
    <row r="219" spans="1:6" x14ac:dyDescent="0.3">
      <c r="A219" t="s">
        <v>35</v>
      </c>
      <c r="B219" s="2">
        <v>46102.274305555547</v>
      </c>
      <c r="C219" s="8">
        <f t="shared" si="3"/>
        <v>6</v>
      </c>
      <c r="D219" t="s">
        <v>53</v>
      </c>
      <c r="E219">
        <v>31.7</v>
      </c>
      <c r="F219" t="s">
        <v>54</v>
      </c>
    </row>
    <row r="220" spans="1:6" x14ac:dyDescent="0.3">
      <c r="A220" t="s">
        <v>35</v>
      </c>
      <c r="B220" s="2">
        <v>46066.130555555559</v>
      </c>
      <c r="C220" s="8">
        <f t="shared" si="3"/>
        <v>3</v>
      </c>
      <c r="D220" t="s">
        <v>53</v>
      </c>
      <c r="E220">
        <v>41.8</v>
      </c>
      <c r="F220" t="s">
        <v>60</v>
      </c>
    </row>
    <row r="221" spans="1:6" x14ac:dyDescent="0.3">
      <c r="A221" t="s">
        <v>35</v>
      </c>
      <c r="B221" s="2">
        <v>46032.259027777778</v>
      </c>
      <c r="C221" s="8">
        <f t="shared" si="3"/>
        <v>6</v>
      </c>
      <c r="D221" t="s">
        <v>57</v>
      </c>
      <c r="E221">
        <v>33.200000000000003</v>
      </c>
      <c r="F221" t="s">
        <v>61</v>
      </c>
    </row>
    <row r="222" spans="1:6" x14ac:dyDescent="0.3">
      <c r="A222" t="s">
        <v>35</v>
      </c>
      <c r="B222" s="2">
        <v>46051.037499999999</v>
      </c>
      <c r="C222" s="8">
        <f t="shared" si="3"/>
        <v>0</v>
      </c>
      <c r="D222" t="s">
        <v>59</v>
      </c>
      <c r="E222">
        <v>67.400000000000006</v>
      </c>
      <c r="F222" t="s">
        <v>56</v>
      </c>
    </row>
    <row r="223" spans="1:6" x14ac:dyDescent="0.3">
      <c r="A223" t="s">
        <v>35</v>
      </c>
      <c r="B223" s="2">
        <v>46084.911111111112</v>
      </c>
      <c r="C223" s="8">
        <f t="shared" si="3"/>
        <v>21</v>
      </c>
      <c r="D223" t="s">
        <v>55</v>
      </c>
      <c r="E223">
        <v>43.6</v>
      </c>
      <c r="F223" t="s">
        <v>58</v>
      </c>
    </row>
    <row r="224" spans="1:6" x14ac:dyDescent="0.3">
      <c r="A224" t="s">
        <v>35</v>
      </c>
      <c r="B224" s="2">
        <v>46090.561805555553</v>
      </c>
      <c r="C224" s="8">
        <f t="shared" si="3"/>
        <v>13</v>
      </c>
      <c r="D224" t="s">
        <v>59</v>
      </c>
      <c r="E224">
        <v>26.8</v>
      </c>
      <c r="F224" t="s">
        <v>54</v>
      </c>
    </row>
    <row r="225" spans="1:6" x14ac:dyDescent="0.3">
      <c r="A225" t="s">
        <v>35</v>
      </c>
      <c r="B225" s="2">
        <v>46090.369444444441</v>
      </c>
      <c r="C225" s="8">
        <f t="shared" si="3"/>
        <v>8</v>
      </c>
      <c r="D225" t="s">
        <v>55</v>
      </c>
      <c r="E225">
        <v>53.1</v>
      </c>
      <c r="F225" t="s">
        <v>62</v>
      </c>
    </row>
    <row r="226" spans="1:6" x14ac:dyDescent="0.3">
      <c r="A226" t="s">
        <v>35</v>
      </c>
      <c r="B226" s="2">
        <v>46028.195138888892</v>
      </c>
      <c r="C226" s="8">
        <f t="shared" si="3"/>
        <v>4</v>
      </c>
      <c r="D226" t="s">
        <v>59</v>
      </c>
      <c r="E226">
        <v>28.8</v>
      </c>
      <c r="F226" t="s">
        <v>56</v>
      </c>
    </row>
    <row r="227" spans="1:6" x14ac:dyDescent="0.3">
      <c r="A227" t="s">
        <v>43</v>
      </c>
      <c r="B227" s="2">
        <v>46107.340277777781</v>
      </c>
      <c r="C227" s="8">
        <f t="shared" si="3"/>
        <v>8</v>
      </c>
      <c r="D227" t="s">
        <v>55</v>
      </c>
      <c r="E227">
        <v>63.8</v>
      </c>
      <c r="F227" t="s">
        <v>58</v>
      </c>
    </row>
    <row r="228" spans="1:6" x14ac:dyDescent="0.3">
      <c r="A228" t="s">
        <v>43</v>
      </c>
      <c r="B228" s="2">
        <v>46026.470833333333</v>
      </c>
      <c r="C228" s="8">
        <f t="shared" si="3"/>
        <v>11</v>
      </c>
      <c r="D228" t="s">
        <v>53</v>
      </c>
      <c r="E228">
        <v>25.5</v>
      </c>
      <c r="F228" t="s">
        <v>61</v>
      </c>
    </row>
    <row r="229" spans="1:6" x14ac:dyDescent="0.3">
      <c r="A229" t="s">
        <v>43</v>
      </c>
      <c r="B229" s="2">
        <v>46069.31527777778</v>
      </c>
      <c r="C229" s="8">
        <f t="shared" si="3"/>
        <v>7</v>
      </c>
      <c r="D229" t="s">
        <v>59</v>
      </c>
      <c r="E229">
        <v>100</v>
      </c>
      <c r="F229" t="s">
        <v>56</v>
      </c>
    </row>
    <row r="230" spans="1:6" x14ac:dyDescent="0.3">
      <c r="A230" t="s">
        <v>43</v>
      </c>
      <c r="B230" s="2">
        <v>46032.228472222218</v>
      </c>
      <c r="C230" s="8">
        <f t="shared" si="3"/>
        <v>5</v>
      </c>
      <c r="D230" t="s">
        <v>55</v>
      </c>
      <c r="E230">
        <v>85.6</v>
      </c>
      <c r="F230" t="s">
        <v>58</v>
      </c>
    </row>
    <row r="231" spans="1:6" x14ac:dyDescent="0.3">
      <c r="A231" t="s">
        <v>43</v>
      </c>
      <c r="B231" s="2">
        <v>46084.474305555559</v>
      </c>
      <c r="C231" s="8">
        <f t="shared" si="3"/>
        <v>11</v>
      </c>
      <c r="D231" t="s">
        <v>59</v>
      </c>
      <c r="E231">
        <v>50</v>
      </c>
      <c r="F231" t="s">
        <v>62</v>
      </c>
    </row>
    <row r="232" spans="1:6" x14ac:dyDescent="0.3">
      <c r="A232" t="s">
        <v>43</v>
      </c>
      <c r="B232" s="2">
        <v>46035.037499999999</v>
      </c>
      <c r="C232" s="8">
        <f t="shared" si="3"/>
        <v>0</v>
      </c>
      <c r="D232" t="s">
        <v>55</v>
      </c>
      <c r="E232">
        <v>47.6</v>
      </c>
      <c r="F232" t="s">
        <v>61</v>
      </c>
    </row>
    <row r="233" spans="1:6" x14ac:dyDescent="0.3">
      <c r="A233" t="s">
        <v>43</v>
      </c>
      <c r="B233" s="2">
        <v>46072.199305555558</v>
      </c>
      <c r="C233" s="8">
        <f t="shared" si="3"/>
        <v>4</v>
      </c>
      <c r="D233" t="s">
        <v>57</v>
      </c>
      <c r="E233">
        <v>56.8</v>
      </c>
      <c r="F233" t="s">
        <v>58</v>
      </c>
    </row>
    <row r="234" spans="1:6" x14ac:dyDescent="0.3">
      <c r="A234" t="s">
        <v>43</v>
      </c>
      <c r="B234" s="2">
        <v>46101.496527777781</v>
      </c>
      <c r="C234" s="8">
        <f t="shared" si="3"/>
        <v>11</v>
      </c>
      <c r="D234" t="s">
        <v>53</v>
      </c>
      <c r="E234">
        <v>43.4</v>
      </c>
      <c r="F234" t="s">
        <v>58</v>
      </c>
    </row>
    <row r="235" spans="1:6" x14ac:dyDescent="0.3">
      <c r="A235" t="s">
        <v>43</v>
      </c>
      <c r="B235" s="2">
        <v>46030.777083333327</v>
      </c>
      <c r="C235" s="8">
        <f t="shared" si="3"/>
        <v>18</v>
      </c>
      <c r="D235" t="s">
        <v>59</v>
      </c>
      <c r="E235">
        <v>136.6</v>
      </c>
      <c r="F235" t="s">
        <v>60</v>
      </c>
    </row>
    <row r="236" spans="1:6" x14ac:dyDescent="0.3">
      <c r="A236" t="s">
        <v>43</v>
      </c>
      <c r="B236" s="2">
        <v>46062.088888888888</v>
      </c>
      <c r="C236" s="8">
        <f t="shared" si="3"/>
        <v>2</v>
      </c>
      <c r="D236" t="s">
        <v>53</v>
      </c>
      <c r="E236">
        <v>31.7</v>
      </c>
      <c r="F236" t="s">
        <v>56</v>
      </c>
    </row>
    <row r="237" spans="1:6" x14ac:dyDescent="0.3">
      <c r="A237" t="s">
        <v>43</v>
      </c>
      <c r="B237" s="2">
        <v>46062.273611111108</v>
      </c>
      <c r="C237" s="8">
        <f t="shared" si="3"/>
        <v>6</v>
      </c>
      <c r="D237" t="s">
        <v>59</v>
      </c>
      <c r="E237">
        <v>58</v>
      </c>
      <c r="F237" t="s">
        <v>62</v>
      </c>
    </row>
    <row r="238" spans="1:6" x14ac:dyDescent="0.3">
      <c r="A238" t="s">
        <v>31</v>
      </c>
      <c r="B238" s="2">
        <v>46095.416666666657</v>
      </c>
      <c r="C238" s="8">
        <f t="shared" si="3"/>
        <v>10</v>
      </c>
      <c r="D238" t="s">
        <v>53</v>
      </c>
      <c r="E238">
        <v>54.1</v>
      </c>
      <c r="F238" t="s">
        <v>61</v>
      </c>
    </row>
    <row r="239" spans="1:6" x14ac:dyDescent="0.3">
      <c r="A239" t="s">
        <v>31</v>
      </c>
      <c r="B239" s="2">
        <v>46078.898611111108</v>
      </c>
      <c r="C239" s="8">
        <f t="shared" si="3"/>
        <v>21</v>
      </c>
      <c r="D239" t="s">
        <v>53</v>
      </c>
      <c r="E239">
        <v>33.6</v>
      </c>
      <c r="F239" t="s">
        <v>58</v>
      </c>
    </row>
    <row r="240" spans="1:6" x14ac:dyDescent="0.3">
      <c r="A240" t="s">
        <v>31</v>
      </c>
      <c r="B240" s="2">
        <v>46039.819444444453</v>
      </c>
      <c r="C240" s="8">
        <f t="shared" si="3"/>
        <v>19</v>
      </c>
      <c r="D240" t="s">
        <v>59</v>
      </c>
      <c r="E240">
        <v>136.80000000000001</v>
      </c>
      <c r="F240" t="s">
        <v>60</v>
      </c>
    </row>
    <row r="241" spans="1:6" x14ac:dyDescent="0.3">
      <c r="A241" t="s">
        <v>31</v>
      </c>
      <c r="B241" s="2">
        <v>46068.188194444447</v>
      </c>
      <c r="C241" s="8">
        <f t="shared" si="3"/>
        <v>4</v>
      </c>
      <c r="D241" t="s">
        <v>57</v>
      </c>
      <c r="E241">
        <v>15.7</v>
      </c>
      <c r="F241" t="s">
        <v>56</v>
      </c>
    </row>
    <row r="242" spans="1:6" x14ac:dyDescent="0.3">
      <c r="A242" t="s">
        <v>31</v>
      </c>
      <c r="B242" s="2">
        <v>46035.918749999997</v>
      </c>
      <c r="C242" s="8">
        <f t="shared" si="3"/>
        <v>22</v>
      </c>
      <c r="D242" t="s">
        <v>53</v>
      </c>
      <c r="E242">
        <v>48.8</v>
      </c>
      <c r="F242" t="s">
        <v>58</v>
      </c>
    </row>
    <row r="243" spans="1:6" x14ac:dyDescent="0.3">
      <c r="A243" t="s">
        <v>31</v>
      </c>
      <c r="B243" s="2">
        <v>46052.868055555547</v>
      </c>
      <c r="C243" s="8">
        <f t="shared" si="3"/>
        <v>20</v>
      </c>
      <c r="D243" t="s">
        <v>53</v>
      </c>
      <c r="E243">
        <v>23.4</v>
      </c>
      <c r="F243" t="s">
        <v>60</v>
      </c>
    </row>
    <row r="244" spans="1:6" x14ac:dyDescent="0.3">
      <c r="A244" t="s">
        <v>31</v>
      </c>
      <c r="B244" s="2">
        <v>46108.020833333343</v>
      </c>
      <c r="C244" s="8">
        <f t="shared" si="3"/>
        <v>0</v>
      </c>
      <c r="D244" t="s">
        <v>57</v>
      </c>
      <c r="E244">
        <v>20.2</v>
      </c>
      <c r="F244" t="s">
        <v>61</v>
      </c>
    </row>
    <row r="245" spans="1:6" x14ac:dyDescent="0.3">
      <c r="A245" t="s">
        <v>31</v>
      </c>
      <c r="B245" s="2">
        <v>46104.593055555553</v>
      </c>
      <c r="C245" s="8">
        <f t="shared" si="3"/>
        <v>14</v>
      </c>
      <c r="D245" t="s">
        <v>59</v>
      </c>
      <c r="E245">
        <v>75.5</v>
      </c>
      <c r="F245" t="s">
        <v>58</v>
      </c>
    </row>
    <row r="246" spans="1:6" x14ac:dyDescent="0.3">
      <c r="A246" t="s">
        <v>31</v>
      </c>
      <c r="B246" s="2">
        <v>46079.902083333327</v>
      </c>
      <c r="C246" s="8">
        <f t="shared" si="3"/>
        <v>21</v>
      </c>
      <c r="D246" t="s">
        <v>55</v>
      </c>
      <c r="E246">
        <v>99</v>
      </c>
      <c r="F246" t="s">
        <v>62</v>
      </c>
    </row>
    <row r="247" spans="1:6" x14ac:dyDescent="0.3">
      <c r="A247" t="s">
        <v>31</v>
      </c>
      <c r="B247" s="2">
        <v>46047.871527777781</v>
      </c>
      <c r="C247" s="8">
        <f t="shared" si="3"/>
        <v>20</v>
      </c>
      <c r="D247" t="s">
        <v>55</v>
      </c>
      <c r="E247">
        <v>56.4</v>
      </c>
      <c r="F247" t="s">
        <v>58</v>
      </c>
    </row>
    <row r="248" spans="1:6" x14ac:dyDescent="0.3">
      <c r="A248" t="s">
        <v>31</v>
      </c>
      <c r="B248" s="2">
        <v>46031.838888888888</v>
      </c>
      <c r="C248" s="8">
        <f t="shared" si="3"/>
        <v>20</v>
      </c>
      <c r="D248" t="s">
        <v>57</v>
      </c>
      <c r="E248">
        <v>40.200000000000003</v>
      </c>
      <c r="F248" t="s">
        <v>61</v>
      </c>
    </row>
    <row r="249" spans="1:6" x14ac:dyDescent="0.3">
      <c r="A249" t="s">
        <v>31</v>
      </c>
      <c r="B249" s="2">
        <v>46024.740277777782</v>
      </c>
      <c r="C249" s="8">
        <f t="shared" si="3"/>
        <v>17</v>
      </c>
      <c r="D249" t="s">
        <v>57</v>
      </c>
      <c r="E249">
        <v>57.9</v>
      </c>
      <c r="F249" t="s">
        <v>61</v>
      </c>
    </row>
    <row r="250" spans="1:6" x14ac:dyDescent="0.3">
      <c r="A250" t="s">
        <v>31</v>
      </c>
      <c r="B250" s="2">
        <v>46084.709722222222</v>
      </c>
      <c r="C250" s="8">
        <f t="shared" si="3"/>
        <v>17</v>
      </c>
      <c r="D250" t="s">
        <v>55</v>
      </c>
      <c r="E250">
        <v>57.3</v>
      </c>
      <c r="F250" t="s">
        <v>58</v>
      </c>
    </row>
    <row r="251" spans="1:6" x14ac:dyDescent="0.3">
      <c r="A251" t="s">
        <v>31</v>
      </c>
      <c r="B251" s="2">
        <v>46038.36041666667</v>
      </c>
      <c r="C251" s="8">
        <f t="shared" si="3"/>
        <v>8</v>
      </c>
      <c r="D251" t="s">
        <v>59</v>
      </c>
      <c r="E251">
        <v>120.2</v>
      </c>
      <c r="F251" t="s">
        <v>60</v>
      </c>
    </row>
    <row r="252" spans="1:6" x14ac:dyDescent="0.3">
      <c r="A252" t="s">
        <v>31</v>
      </c>
      <c r="B252" s="2">
        <v>46084.316666666673</v>
      </c>
      <c r="C252" s="8">
        <f t="shared" si="3"/>
        <v>7</v>
      </c>
      <c r="D252" t="s">
        <v>53</v>
      </c>
      <c r="E252">
        <v>23.5</v>
      </c>
      <c r="F252" t="s">
        <v>58</v>
      </c>
    </row>
    <row r="253" spans="1:6" x14ac:dyDescent="0.3">
      <c r="A253" t="s">
        <v>31</v>
      </c>
      <c r="B253" s="2">
        <v>46053.074305555558</v>
      </c>
      <c r="C253" s="8">
        <f t="shared" si="3"/>
        <v>1</v>
      </c>
      <c r="D253" t="s">
        <v>55</v>
      </c>
      <c r="E253">
        <v>107.9</v>
      </c>
      <c r="F253" t="s">
        <v>56</v>
      </c>
    </row>
    <row r="254" spans="1:6" x14ac:dyDescent="0.3">
      <c r="A254" t="s">
        <v>13</v>
      </c>
      <c r="B254" s="2">
        <v>46087.994444444441</v>
      </c>
      <c r="C254" s="8">
        <f t="shared" si="3"/>
        <v>23</v>
      </c>
      <c r="D254" t="s">
        <v>59</v>
      </c>
      <c r="E254">
        <v>103</v>
      </c>
      <c r="F254" t="s">
        <v>58</v>
      </c>
    </row>
    <row r="255" spans="1:6" x14ac:dyDescent="0.3">
      <c r="A255" t="s">
        <v>13</v>
      </c>
      <c r="B255" s="2">
        <v>46070.331250000003</v>
      </c>
      <c r="C255" s="8">
        <f t="shared" si="3"/>
        <v>7</v>
      </c>
      <c r="D255" t="s">
        <v>55</v>
      </c>
      <c r="E255">
        <v>32.1</v>
      </c>
      <c r="F255" t="s">
        <v>60</v>
      </c>
    </row>
    <row r="256" spans="1:6" x14ac:dyDescent="0.3">
      <c r="A256" t="s">
        <v>13</v>
      </c>
      <c r="B256" s="2">
        <v>46058.272916666669</v>
      </c>
      <c r="C256" s="8">
        <f t="shared" si="3"/>
        <v>6</v>
      </c>
      <c r="D256" t="s">
        <v>59</v>
      </c>
      <c r="E256">
        <v>102.6</v>
      </c>
      <c r="F256" t="s">
        <v>58</v>
      </c>
    </row>
    <row r="257" spans="1:6" x14ac:dyDescent="0.3">
      <c r="A257" t="s">
        <v>13</v>
      </c>
      <c r="B257" s="2">
        <v>46056.565972222219</v>
      </c>
      <c r="C257" s="8">
        <f t="shared" si="3"/>
        <v>13</v>
      </c>
      <c r="D257" t="s">
        <v>55</v>
      </c>
      <c r="E257">
        <v>68.2</v>
      </c>
      <c r="F257" t="s">
        <v>56</v>
      </c>
    </row>
    <row r="258" spans="1:6" x14ac:dyDescent="0.3">
      <c r="A258" t="s">
        <v>13</v>
      </c>
      <c r="B258" s="2">
        <v>46048.527777777781</v>
      </c>
      <c r="C258" s="8">
        <f t="shared" si="3"/>
        <v>12</v>
      </c>
      <c r="D258" t="s">
        <v>59</v>
      </c>
      <c r="E258">
        <v>44.9</v>
      </c>
      <c r="F258" t="s">
        <v>61</v>
      </c>
    </row>
    <row r="259" spans="1:6" x14ac:dyDescent="0.3">
      <c r="A259" t="s">
        <v>13</v>
      </c>
      <c r="B259" s="2">
        <v>46047.388194444437</v>
      </c>
      <c r="C259" s="8">
        <f t="shared" ref="C259:C304" si="4">HOUR(B259)</f>
        <v>9</v>
      </c>
      <c r="D259" t="s">
        <v>55</v>
      </c>
      <c r="E259">
        <v>149.1</v>
      </c>
      <c r="F259" t="s">
        <v>61</v>
      </c>
    </row>
    <row r="260" spans="1:6" x14ac:dyDescent="0.3">
      <c r="A260" t="s">
        <v>13</v>
      </c>
      <c r="B260" s="2">
        <v>46051.102777777778</v>
      </c>
      <c r="C260" s="8">
        <f t="shared" si="4"/>
        <v>2</v>
      </c>
      <c r="D260" t="s">
        <v>57</v>
      </c>
      <c r="E260">
        <v>27</v>
      </c>
      <c r="F260" t="s">
        <v>61</v>
      </c>
    </row>
    <row r="261" spans="1:6" x14ac:dyDescent="0.3">
      <c r="A261" t="s">
        <v>13</v>
      </c>
      <c r="B261" s="2">
        <v>46062.917361111111</v>
      </c>
      <c r="C261" s="8">
        <f t="shared" si="4"/>
        <v>22</v>
      </c>
      <c r="D261" t="s">
        <v>57</v>
      </c>
      <c r="E261">
        <v>42.1</v>
      </c>
      <c r="F261" t="s">
        <v>56</v>
      </c>
    </row>
    <row r="262" spans="1:6" x14ac:dyDescent="0.3">
      <c r="A262" t="s">
        <v>13</v>
      </c>
      <c r="B262" s="2">
        <v>46034.038888888892</v>
      </c>
      <c r="C262" s="8">
        <f t="shared" si="4"/>
        <v>0</v>
      </c>
      <c r="D262" t="s">
        <v>57</v>
      </c>
      <c r="E262">
        <v>33.6</v>
      </c>
      <c r="F262" t="s">
        <v>60</v>
      </c>
    </row>
    <row r="263" spans="1:6" x14ac:dyDescent="0.3">
      <c r="A263" t="s">
        <v>13</v>
      </c>
      <c r="B263" s="2">
        <v>46054.695138888892</v>
      </c>
      <c r="C263" s="8">
        <f t="shared" si="4"/>
        <v>16</v>
      </c>
      <c r="D263" t="s">
        <v>57</v>
      </c>
      <c r="E263">
        <v>47.5</v>
      </c>
      <c r="F263" t="s">
        <v>58</v>
      </c>
    </row>
    <row r="264" spans="1:6" x14ac:dyDescent="0.3">
      <c r="A264" t="s">
        <v>13</v>
      </c>
      <c r="B264" s="2">
        <v>46083.992361111108</v>
      </c>
      <c r="C264" s="8">
        <f t="shared" si="4"/>
        <v>23</v>
      </c>
      <c r="D264" t="s">
        <v>55</v>
      </c>
      <c r="E264">
        <v>106.5</v>
      </c>
      <c r="F264" t="s">
        <v>54</v>
      </c>
    </row>
    <row r="265" spans="1:6" x14ac:dyDescent="0.3">
      <c r="A265" t="s">
        <v>13</v>
      </c>
      <c r="B265" s="2">
        <v>46062.87777777778</v>
      </c>
      <c r="C265" s="8">
        <f t="shared" si="4"/>
        <v>21</v>
      </c>
      <c r="D265" t="s">
        <v>55</v>
      </c>
      <c r="E265">
        <v>46.8</v>
      </c>
      <c r="F265" t="s">
        <v>54</v>
      </c>
    </row>
    <row r="266" spans="1:6" x14ac:dyDescent="0.3">
      <c r="A266" t="s">
        <v>13</v>
      </c>
      <c r="B266" s="2">
        <v>46090.068055555559</v>
      </c>
      <c r="C266" s="8">
        <f t="shared" si="4"/>
        <v>1</v>
      </c>
      <c r="D266" t="s">
        <v>57</v>
      </c>
      <c r="E266">
        <v>41</v>
      </c>
      <c r="F266" t="s">
        <v>58</v>
      </c>
    </row>
    <row r="267" spans="1:6" x14ac:dyDescent="0.3">
      <c r="A267" t="s">
        <v>13</v>
      </c>
      <c r="B267" s="2">
        <v>46062.158333333333</v>
      </c>
      <c r="C267" s="8">
        <f t="shared" si="4"/>
        <v>3</v>
      </c>
      <c r="D267" t="s">
        <v>53</v>
      </c>
      <c r="E267">
        <v>40</v>
      </c>
      <c r="F267" t="s">
        <v>56</v>
      </c>
    </row>
    <row r="268" spans="1:6" x14ac:dyDescent="0.3">
      <c r="A268" t="s">
        <v>13</v>
      </c>
      <c r="B268" s="2">
        <v>46054.993750000001</v>
      </c>
      <c r="C268" s="8">
        <f t="shared" si="4"/>
        <v>23</v>
      </c>
      <c r="D268" t="s">
        <v>53</v>
      </c>
      <c r="E268">
        <v>25.5</v>
      </c>
      <c r="F268" t="s">
        <v>56</v>
      </c>
    </row>
    <row r="269" spans="1:6" x14ac:dyDescent="0.3">
      <c r="A269" t="s">
        <v>13</v>
      </c>
      <c r="B269" s="2">
        <v>46083.058333333327</v>
      </c>
      <c r="C269" s="8">
        <f t="shared" si="4"/>
        <v>1</v>
      </c>
      <c r="D269" t="s">
        <v>53</v>
      </c>
      <c r="E269">
        <v>19.3</v>
      </c>
      <c r="F269" t="s">
        <v>61</v>
      </c>
    </row>
    <row r="270" spans="1:6" x14ac:dyDescent="0.3">
      <c r="A270" t="s">
        <v>13</v>
      </c>
      <c r="B270" s="2">
        <v>46084.793055555558</v>
      </c>
      <c r="C270" s="8">
        <f t="shared" si="4"/>
        <v>19</v>
      </c>
      <c r="D270" t="s">
        <v>59</v>
      </c>
      <c r="E270">
        <v>51.1</v>
      </c>
      <c r="F270" t="s">
        <v>58</v>
      </c>
    </row>
    <row r="271" spans="1:6" x14ac:dyDescent="0.3">
      <c r="A271" t="s">
        <v>13</v>
      </c>
      <c r="B271" s="2">
        <v>46062.867361111108</v>
      </c>
      <c r="C271" s="8">
        <f t="shared" si="4"/>
        <v>20</v>
      </c>
      <c r="D271" t="s">
        <v>53</v>
      </c>
      <c r="E271">
        <v>58.8</v>
      </c>
      <c r="F271" t="s">
        <v>61</v>
      </c>
    </row>
    <row r="272" spans="1:6" x14ac:dyDescent="0.3">
      <c r="A272" t="s">
        <v>13</v>
      </c>
      <c r="B272" s="2">
        <v>46099.804861111108</v>
      </c>
      <c r="C272" s="8">
        <f t="shared" si="4"/>
        <v>19</v>
      </c>
      <c r="D272" t="s">
        <v>55</v>
      </c>
      <c r="E272">
        <v>134.9</v>
      </c>
      <c r="F272" t="s">
        <v>61</v>
      </c>
    </row>
    <row r="273" spans="1:6" x14ac:dyDescent="0.3">
      <c r="A273" t="s">
        <v>13</v>
      </c>
      <c r="B273" s="2">
        <v>46091.666666666657</v>
      </c>
      <c r="C273" s="8">
        <f t="shared" si="4"/>
        <v>16</v>
      </c>
      <c r="D273" t="s">
        <v>59</v>
      </c>
      <c r="E273">
        <v>134.30000000000001</v>
      </c>
      <c r="F273" t="s">
        <v>56</v>
      </c>
    </row>
    <row r="274" spans="1:6" x14ac:dyDescent="0.3">
      <c r="A274" t="s">
        <v>13</v>
      </c>
      <c r="B274" s="2">
        <v>46076.36041666667</v>
      </c>
      <c r="C274" s="8">
        <f t="shared" si="4"/>
        <v>8</v>
      </c>
      <c r="D274" t="s">
        <v>57</v>
      </c>
      <c r="E274">
        <v>35.700000000000003</v>
      </c>
      <c r="F274" t="s">
        <v>56</v>
      </c>
    </row>
    <row r="275" spans="1:6" x14ac:dyDescent="0.3">
      <c r="A275" t="s">
        <v>13</v>
      </c>
      <c r="B275" s="2">
        <v>46066.790972222218</v>
      </c>
      <c r="C275" s="8">
        <f t="shared" si="4"/>
        <v>18</v>
      </c>
      <c r="D275" t="s">
        <v>53</v>
      </c>
      <c r="E275">
        <v>44.8</v>
      </c>
      <c r="F275" t="s">
        <v>58</v>
      </c>
    </row>
    <row r="276" spans="1:6" x14ac:dyDescent="0.3">
      <c r="A276" t="s">
        <v>13</v>
      </c>
      <c r="B276" s="2">
        <v>46047.222916666673</v>
      </c>
      <c r="C276" s="8">
        <f t="shared" si="4"/>
        <v>5</v>
      </c>
      <c r="D276" t="s">
        <v>55</v>
      </c>
      <c r="E276">
        <v>114</v>
      </c>
      <c r="F276" t="s">
        <v>62</v>
      </c>
    </row>
    <row r="277" spans="1:6" x14ac:dyDescent="0.3">
      <c r="A277" t="s">
        <v>41</v>
      </c>
      <c r="B277" s="2">
        <v>46064.320138888892</v>
      </c>
      <c r="C277" s="8">
        <f t="shared" si="4"/>
        <v>7</v>
      </c>
      <c r="D277" t="s">
        <v>53</v>
      </c>
      <c r="E277">
        <v>19.600000000000001</v>
      </c>
      <c r="F277" t="s">
        <v>58</v>
      </c>
    </row>
    <row r="278" spans="1:6" x14ac:dyDescent="0.3">
      <c r="A278" t="s">
        <v>41</v>
      </c>
      <c r="B278" s="2">
        <v>46096.46875</v>
      </c>
      <c r="C278" s="8">
        <f t="shared" si="4"/>
        <v>11</v>
      </c>
      <c r="D278" t="s">
        <v>53</v>
      </c>
      <c r="E278">
        <v>32.6</v>
      </c>
      <c r="F278" t="s">
        <v>62</v>
      </c>
    </row>
    <row r="279" spans="1:6" x14ac:dyDescent="0.3">
      <c r="A279" t="s">
        <v>41</v>
      </c>
      <c r="B279" s="2">
        <v>46072.711111111108</v>
      </c>
      <c r="C279" s="8">
        <f t="shared" si="4"/>
        <v>17</v>
      </c>
      <c r="D279" t="s">
        <v>55</v>
      </c>
      <c r="E279">
        <v>80.599999999999994</v>
      </c>
      <c r="F279" t="s">
        <v>61</v>
      </c>
    </row>
    <row r="280" spans="1:6" x14ac:dyDescent="0.3">
      <c r="A280" t="s">
        <v>41</v>
      </c>
      <c r="B280" s="2">
        <v>46070.975694444453</v>
      </c>
      <c r="C280" s="8">
        <f t="shared" si="4"/>
        <v>23</v>
      </c>
      <c r="D280" t="s">
        <v>59</v>
      </c>
      <c r="E280">
        <v>100</v>
      </c>
      <c r="F280" t="s">
        <v>62</v>
      </c>
    </row>
    <row r="281" spans="1:6" x14ac:dyDescent="0.3">
      <c r="A281" t="s">
        <v>41</v>
      </c>
      <c r="B281" s="2">
        <v>46112.256944444453</v>
      </c>
      <c r="C281" s="8">
        <f t="shared" si="4"/>
        <v>6</v>
      </c>
      <c r="D281" t="s">
        <v>57</v>
      </c>
      <c r="E281">
        <v>17.8</v>
      </c>
      <c r="F281" t="s">
        <v>61</v>
      </c>
    </row>
    <row r="282" spans="1:6" x14ac:dyDescent="0.3">
      <c r="A282" t="s">
        <v>41</v>
      </c>
      <c r="B282" s="2">
        <v>46100.331944444442</v>
      </c>
      <c r="C282" s="8">
        <f t="shared" si="4"/>
        <v>7</v>
      </c>
      <c r="D282" t="s">
        <v>57</v>
      </c>
      <c r="E282">
        <v>18.600000000000001</v>
      </c>
      <c r="F282" t="s">
        <v>58</v>
      </c>
    </row>
    <row r="283" spans="1:6" x14ac:dyDescent="0.3">
      <c r="A283" t="s">
        <v>41</v>
      </c>
      <c r="B283" s="2">
        <v>46097.876388888893</v>
      </c>
      <c r="C283" s="8">
        <f t="shared" si="4"/>
        <v>21</v>
      </c>
      <c r="D283" t="s">
        <v>57</v>
      </c>
      <c r="E283">
        <v>46.7</v>
      </c>
      <c r="F283" t="s">
        <v>61</v>
      </c>
    </row>
    <row r="284" spans="1:6" x14ac:dyDescent="0.3">
      <c r="A284" t="s">
        <v>41</v>
      </c>
      <c r="B284" s="2">
        <v>46059.216666666667</v>
      </c>
      <c r="C284" s="8">
        <f t="shared" si="4"/>
        <v>5</v>
      </c>
      <c r="D284" t="s">
        <v>57</v>
      </c>
      <c r="E284">
        <v>48.1</v>
      </c>
      <c r="F284" t="s">
        <v>58</v>
      </c>
    </row>
    <row r="285" spans="1:6" x14ac:dyDescent="0.3">
      <c r="A285" t="s">
        <v>41</v>
      </c>
      <c r="B285" s="2">
        <v>46093.959027777782</v>
      </c>
      <c r="C285" s="8">
        <f t="shared" si="4"/>
        <v>23</v>
      </c>
      <c r="D285" t="s">
        <v>59</v>
      </c>
      <c r="E285">
        <v>77.099999999999994</v>
      </c>
      <c r="F285" t="s">
        <v>56</v>
      </c>
    </row>
    <row r="286" spans="1:6" x14ac:dyDescent="0.3">
      <c r="A286" t="s">
        <v>41</v>
      </c>
      <c r="B286" s="2">
        <v>46029.684027777781</v>
      </c>
      <c r="C286" s="8">
        <f t="shared" si="4"/>
        <v>16</v>
      </c>
      <c r="D286" t="s">
        <v>55</v>
      </c>
      <c r="E286">
        <v>75.3</v>
      </c>
      <c r="F286" t="s">
        <v>61</v>
      </c>
    </row>
    <row r="287" spans="1:6" x14ac:dyDescent="0.3">
      <c r="A287" t="s">
        <v>41</v>
      </c>
      <c r="B287" s="2">
        <v>46081.552083333343</v>
      </c>
      <c r="C287" s="8">
        <f t="shared" si="4"/>
        <v>13</v>
      </c>
      <c r="D287" t="s">
        <v>59</v>
      </c>
      <c r="E287">
        <v>42</v>
      </c>
      <c r="F287" t="s">
        <v>62</v>
      </c>
    </row>
    <row r="288" spans="1:6" x14ac:dyDescent="0.3">
      <c r="A288" t="s">
        <v>41</v>
      </c>
      <c r="B288" s="2">
        <v>46045.427777777782</v>
      </c>
      <c r="C288" s="8">
        <f t="shared" si="4"/>
        <v>10</v>
      </c>
      <c r="D288" t="s">
        <v>57</v>
      </c>
      <c r="E288">
        <v>33.200000000000003</v>
      </c>
      <c r="F288" t="s">
        <v>62</v>
      </c>
    </row>
    <row r="289" spans="1:6" x14ac:dyDescent="0.3">
      <c r="A289" t="s">
        <v>41</v>
      </c>
      <c r="B289" s="2">
        <v>46032.722916666673</v>
      </c>
      <c r="C289" s="8">
        <f t="shared" si="4"/>
        <v>17</v>
      </c>
      <c r="D289" t="s">
        <v>59</v>
      </c>
      <c r="E289">
        <v>44</v>
      </c>
      <c r="F289" t="s">
        <v>58</v>
      </c>
    </row>
    <row r="290" spans="1:6" x14ac:dyDescent="0.3">
      <c r="A290" t="s">
        <v>41</v>
      </c>
      <c r="B290" s="2">
        <v>46066.568749999999</v>
      </c>
      <c r="C290" s="8">
        <f t="shared" si="4"/>
        <v>13</v>
      </c>
      <c r="D290" t="s">
        <v>53</v>
      </c>
      <c r="E290">
        <v>19.7</v>
      </c>
      <c r="F290" t="s">
        <v>54</v>
      </c>
    </row>
    <row r="291" spans="1:6" x14ac:dyDescent="0.3">
      <c r="A291" t="s">
        <v>45</v>
      </c>
      <c r="B291" s="2">
        <v>46086.447222222218</v>
      </c>
      <c r="C291" s="8">
        <f t="shared" si="4"/>
        <v>10</v>
      </c>
      <c r="D291" t="s">
        <v>59</v>
      </c>
      <c r="E291">
        <v>109.9</v>
      </c>
      <c r="F291" t="s">
        <v>62</v>
      </c>
    </row>
    <row r="292" spans="1:6" x14ac:dyDescent="0.3">
      <c r="A292" t="s">
        <v>45</v>
      </c>
      <c r="B292" s="2">
        <v>46056.701388888891</v>
      </c>
      <c r="C292" s="8">
        <f t="shared" si="4"/>
        <v>16</v>
      </c>
      <c r="D292" t="s">
        <v>59</v>
      </c>
      <c r="E292">
        <v>106.6</v>
      </c>
      <c r="F292" t="s">
        <v>54</v>
      </c>
    </row>
    <row r="293" spans="1:6" x14ac:dyDescent="0.3">
      <c r="A293" t="s">
        <v>45</v>
      </c>
      <c r="B293" s="2">
        <v>46072.445833333331</v>
      </c>
      <c r="C293" s="8">
        <f t="shared" si="4"/>
        <v>10</v>
      </c>
      <c r="D293" t="s">
        <v>57</v>
      </c>
      <c r="E293">
        <v>40.4</v>
      </c>
      <c r="F293" t="s">
        <v>58</v>
      </c>
    </row>
    <row r="294" spans="1:6" x14ac:dyDescent="0.3">
      <c r="A294" t="s">
        <v>45</v>
      </c>
      <c r="B294" s="2">
        <v>46035.623611111107</v>
      </c>
      <c r="C294" s="8">
        <f t="shared" si="4"/>
        <v>14</v>
      </c>
      <c r="D294" t="s">
        <v>57</v>
      </c>
      <c r="E294">
        <v>39.5</v>
      </c>
      <c r="F294" t="s">
        <v>60</v>
      </c>
    </row>
    <row r="295" spans="1:6" x14ac:dyDescent="0.3">
      <c r="A295" t="s">
        <v>45</v>
      </c>
      <c r="B295" s="2">
        <v>46046.125694444447</v>
      </c>
      <c r="C295" s="8">
        <f t="shared" si="4"/>
        <v>3</v>
      </c>
      <c r="D295" t="s">
        <v>53</v>
      </c>
      <c r="E295">
        <v>26.6</v>
      </c>
      <c r="F295" t="s">
        <v>62</v>
      </c>
    </row>
    <row r="296" spans="1:6" x14ac:dyDescent="0.3">
      <c r="A296" t="s">
        <v>45</v>
      </c>
      <c r="B296" s="2">
        <v>46090.176388888889</v>
      </c>
      <c r="C296" s="8">
        <f t="shared" si="4"/>
        <v>4</v>
      </c>
      <c r="D296" t="s">
        <v>59</v>
      </c>
      <c r="E296">
        <v>40.9</v>
      </c>
      <c r="F296" t="s">
        <v>58</v>
      </c>
    </row>
    <row r="297" spans="1:6" x14ac:dyDescent="0.3">
      <c r="A297" t="s">
        <v>45</v>
      </c>
      <c r="B297" s="2">
        <v>46108.222222222219</v>
      </c>
      <c r="C297" s="8">
        <f t="shared" si="4"/>
        <v>5</v>
      </c>
      <c r="D297" t="s">
        <v>59</v>
      </c>
      <c r="E297">
        <v>33.1</v>
      </c>
      <c r="F297" t="s">
        <v>54</v>
      </c>
    </row>
    <row r="298" spans="1:6" x14ac:dyDescent="0.3">
      <c r="A298" t="s">
        <v>45</v>
      </c>
      <c r="B298" s="2">
        <v>46049.25</v>
      </c>
      <c r="C298" s="8">
        <f t="shared" si="4"/>
        <v>6</v>
      </c>
      <c r="D298" t="s">
        <v>59</v>
      </c>
      <c r="E298">
        <v>73.3</v>
      </c>
      <c r="F298" t="s">
        <v>62</v>
      </c>
    </row>
    <row r="299" spans="1:6" x14ac:dyDescent="0.3">
      <c r="A299" t="s">
        <v>45</v>
      </c>
      <c r="B299" s="2">
        <v>46070.175000000003</v>
      </c>
      <c r="C299" s="8">
        <f t="shared" si="4"/>
        <v>4</v>
      </c>
      <c r="D299" t="s">
        <v>57</v>
      </c>
      <c r="E299">
        <v>6.1</v>
      </c>
      <c r="F299" t="s">
        <v>54</v>
      </c>
    </row>
    <row r="300" spans="1:6" x14ac:dyDescent="0.3">
      <c r="A300" t="s">
        <v>45</v>
      </c>
      <c r="B300" s="2">
        <v>46079.072916666657</v>
      </c>
      <c r="C300" s="8">
        <f t="shared" si="4"/>
        <v>1</v>
      </c>
      <c r="D300" t="s">
        <v>59</v>
      </c>
      <c r="E300">
        <v>68.099999999999994</v>
      </c>
      <c r="F300" t="s">
        <v>60</v>
      </c>
    </row>
    <row r="301" spans="1:6" x14ac:dyDescent="0.3">
      <c r="A301" t="s">
        <v>45</v>
      </c>
      <c r="B301" s="2">
        <v>46062.135416666657</v>
      </c>
      <c r="C301" s="8">
        <f t="shared" si="4"/>
        <v>3</v>
      </c>
      <c r="D301" t="s">
        <v>57</v>
      </c>
      <c r="E301">
        <v>5.2</v>
      </c>
      <c r="F301" t="s">
        <v>62</v>
      </c>
    </row>
    <row r="302" spans="1:6" x14ac:dyDescent="0.3">
      <c r="A302" t="s">
        <v>45</v>
      </c>
      <c r="B302" s="2">
        <v>46081.668055555558</v>
      </c>
      <c r="C302" s="8">
        <f t="shared" si="4"/>
        <v>16</v>
      </c>
      <c r="D302" t="s">
        <v>57</v>
      </c>
      <c r="E302">
        <v>20.6</v>
      </c>
      <c r="F302" t="s">
        <v>62</v>
      </c>
    </row>
    <row r="303" spans="1:6" x14ac:dyDescent="0.3">
      <c r="A303" t="s">
        <v>45</v>
      </c>
      <c r="B303" s="2">
        <v>46082.077777777777</v>
      </c>
      <c r="C303" s="8">
        <f t="shared" si="4"/>
        <v>1</v>
      </c>
      <c r="D303" t="s">
        <v>57</v>
      </c>
      <c r="E303">
        <v>12.1</v>
      </c>
      <c r="F303" t="s">
        <v>61</v>
      </c>
    </row>
    <row r="304" spans="1:6" x14ac:dyDescent="0.3">
      <c r="A304" t="s">
        <v>45</v>
      </c>
      <c r="B304" s="2">
        <v>46031.435416666667</v>
      </c>
      <c r="C304" s="8">
        <f t="shared" si="4"/>
        <v>10</v>
      </c>
      <c r="D304" t="s">
        <v>59</v>
      </c>
      <c r="E304">
        <v>57.7</v>
      </c>
      <c r="F304" t="s">
        <v>54</v>
      </c>
    </row>
  </sheetData>
  <mergeCells count="7">
    <mergeCell ref="I1:K2"/>
    <mergeCell ref="H1:H2"/>
    <mergeCell ref="H11:H12"/>
    <mergeCell ref="I11:K12"/>
    <mergeCell ref="P1:P2"/>
    <mergeCell ref="Q1:S2"/>
    <mergeCell ref="R7:W7"/>
  </mergeCells>
  <conditionalFormatting pivot="1" sqref="J4:J7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{A98EBA27-C5ED-4E36-8C90-84F1B0B241AE}</x14:id>
        </ext>
      </extLst>
    </cfRule>
  </conditionalFormatting>
  <conditionalFormatting pivot="1" sqref="Q7:Q2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{CDCB3B6A-E551-4CF4-BDD7-BB02ED658894}</x14:id>
        </ext>
      </extLst>
    </cfRule>
  </conditionalFormatting>
  <pageMargins left="0.75" right="0.75" top="1" bottom="1" header="0.5" footer="0.5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98EBA27-C5ED-4E36-8C90-84F1B0B241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J4:J7</xm:sqref>
        </x14:conditionalFormatting>
        <x14:conditionalFormatting xmlns:xm="http://schemas.microsoft.com/office/excel/2006/main" pivot="1">
          <x14:cfRule type="dataBar" id="{CDCB3B6A-E551-4CF4-BDD7-BB02ED6588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Q7:Q26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1115-139C-4C9A-ACBA-E3C184032EEA}">
  <dimension ref="A1:Q29"/>
  <sheetViews>
    <sheetView topLeftCell="G1" workbookViewId="0">
      <selection activeCell="H29" sqref="H29"/>
    </sheetView>
  </sheetViews>
  <sheetFormatPr defaultRowHeight="14.4" x14ac:dyDescent="0.3"/>
  <cols>
    <col min="1" max="1" width="12.5546875" hidden="1" customWidth="1"/>
    <col min="2" max="2" width="18.21875" hidden="1" customWidth="1"/>
    <col min="3" max="4" width="8.88671875" hidden="1" customWidth="1"/>
    <col min="5" max="5" width="12.5546875" hidden="1" customWidth="1"/>
    <col min="6" max="6" width="30.6640625" hidden="1" customWidth="1"/>
    <col min="7" max="7" width="8.88671875" customWidth="1"/>
    <col min="8" max="8" width="9.109375" bestFit="1" customWidth="1"/>
    <col min="9" max="9" width="14.21875" bestFit="1" customWidth="1"/>
    <col min="10" max="10" width="18" bestFit="1" customWidth="1"/>
    <col min="11" max="11" width="24.6640625" bestFit="1" customWidth="1"/>
    <col min="15" max="15" width="12" customWidth="1"/>
    <col min="16" max="16" width="14.21875" customWidth="1"/>
    <col min="17" max="17" width="17.5546875" customWidth="1"/>
  </cols>
  <sheetData>
    <row r="1" spans="1:17" x14ac:dyDescent="0.3">
      <c r="A1" s="3" t="s">
        <v>50</v>
      </c>
      <c r="B1" t="s">
        <v>57</v>
      </c>
      <c r="H1" s="11" t="s">
        <v>130</v>
      </c>
      <c r="I1" s="11" t="s">
        <v>131</v>
      </c>
      <c r="J1" s="11" t="s">
        <v>132</v>
      </c>
      <c r="K1" s="11" t="s">
        <v>133</v>
      </c>
      <c r="N1" s="18" t="s">
        <v>140</v>
      </c>
      <c r="O1" s="54" t="s">
        <v>141</v>
      </c>
      <c r="P1" s="54"/>
      <c r="Q1" s="54"/>
    </row>
    <row r="2" spans="1:17" x14ac:dyDescent="0.3">
      <c r="H2" s="5" t="s">
        <v>17</v>
      </c>
      <c r="I2" s="5">
        <v>9</v>
      </c>
      <c r="J2" s="52">
        <v>89.984210526315778</v>
      </c>
      <c r="K2" s="5" t="s">
        <v>135</v>
      </c>
      <c r="N2" s="18"/>
      <c r="O2" s="54"/>
      <c r="P2" s="54"/>
      <c r="Q2" s="54"/>
    </row>
    <row r="3" spans="1:17" x14ac:dyDescent="0.3">
      <c r="A3" s="3" t="s">
        <v>64</v>
      </c>
      <c r="B3" t="s">
        <v>118</v>
      </c>
      <c r="E3" s="3" t="s">
        <v>64</v>
      </c>
      <c r="F3" t="s">
        <v>115</v>
      </c>
      <c r="H3" s="5" t="s">
        <v>37</v>
      </c>
      <c r="I3" s="5">
        <v>9</v>
      </c>
      <c r="J3" s="52">
        <v>92.487272727272696</v>
      </c>
      <c r="K3" s="5" t="s">
        <v>134</v>
      </c>
      <c r="N3" s="53" t="s">
        <v>142</v>
      </c>
      <c r="O3" t="s">
        <v>143</v>
      </c>
    </row>
    <row r="4" spans="1:17" x14ac:dyDescent="0.3">
      <c r="A4" s="4" t="s">
        <v>17</v>
      </c>
      <c r="B4" s="50">
        <v>9</v>
      </c>
      <c r="E4" s="4" t="s">
        <v>17</v>
      </c>
      <c r="F4" s="8">
        <v>89.984210526315778</v>
      </c>
      <c r="H4" s="5" t="s">
        <v>25</v>
      </c>
      <c r="I4" s="5">
        <v>9</v>
      </c>
      <c r="J4" s="52">
        <v>93.710204081632654</v>
      </c>
      <c r="K4" s="5" t="s">
        <v>134</v>
      </c>
      <c r="N4" s="53" t="s">
        <v>96</v>
      </c>
      <c r="O4" t="s">
        <v>144</v>
      </c>
    </row>
    <row r="5" spans="1:17" x14ac:dyDescent="0.3">
      <c r="A5" s="4" t="s">
        <v>37</v>
      </c>
      <c r="B5" s="50">
        <v>9</v>
      </c>
      <c r="E5" s="4" t="s">
        <v>27</v>
      </c>
      <c r="F5" s="8">
        <v>91.186486486486473</v>
      </c>
      <c r="H5" s="5" t="s">
        <v>33</v>
      </c>
      <c r="I5" s="5">
        <v>8</v>
      </c>
      <c r="J5" s="52">
        <v>92.687500000000014</v>
      </c>
      <c r="K5" s="5" t="s">
        <v>134</v>
      </c>
      <c r="N5" s="53" t="s">
        <v>96</v>
      </c>
      <c r="O5" t="s">
        <v>145</v>
      </c>
    </row>
    <row r="6" spans="1:17" x14ac:dyDescent="0.3">
      <c r="A6" s="4" t="s">
        <v>25</v>
      </c>
      <c r="B6" s="50">
        <v>9</v>
      </c>
      <c r="E6" s="4" t="s">
        <v>9</v>
      </c>
      <c r="F6" s="8">
        <v>91.519512195121919</v>
      </c>
      <c r="H6" s="5" t="s">
        <v>27</v>
      </c>
      <c r="I6" s="5">
        <v>7</v>
      </c>
      <c r="J6" s="52">
        <v>91.186486486486473</v>
      </c>
      <c r="K6" s="5" t="s">
        <v>135</v>
      </c>
      <c r="N6" s="53" t="s">
        <v>96</v>
      </c>
      <c r="O6" t="s">
        <v>146</v>
      </c>
    </row>
    <row r="7" spans="1:17" x14ac:dyDescent="0.3">
      <c r="A7" s="4" t="s">
        <v>33</v>
      </c>
      <c r="B7" s="50">
        <v>8</v>
      </c>
      <c r="E7" s="4" t="s">
        <v>41</v>
      </c>
      <c r="F7" s="8">
        <v>91.871428571428552</v>
      </c>
      <c r="H7" s="5" t="s">
        <v>15</v>
      </c>
      <c r="I7" s="5">
        <v>6</v>
      </c>
      <c r="J7" s="52">
        <v>92.579411764705867</v>
      </c>
      <c r="K7" s="5" t="s">
        <v>135</v>
      </c>
    </row>
    <row r="8" spans="1:17" x14ac:dyDescent="0.3">
      <c r="A8" s="4" t="s">
        <v>27</v>
      </c>
      <c r="B8" s="50">
        <v>7</v>
      </c>
      <c r="E8" s="4" t="s">
        <v>11</v>
      </c>
      <c r="F8" s="8">
        <v>92.108333333333334</v>
      </c>
      <c r="H8" s="5" t="s">
        <v>13</v>
      </c>
      <c r="I8" s="5">
        <v>6</v>
      </c>
      <c r="J8" s="52">
        <v>92.487272727272696</v>
      </c>
      <c r="K8" s="5" t="s">
        <v>134</v>
      </c>
    </row>
    <row r="9" spans="1:17" x14ac:dyDescent="0.3">
      <c r="A9" s="4" t="s">
        <v>15</v>
      </c>
      <c r="B9" s="50">
        <v>6</v>
      </c>
      <c r="E9" s="4" t="s">
        <v>31</v>
      </c>
      <c r="F9" s="8">
        <v>92.182857142857145</v>
      </c>
      <c r="H9" s="5" t="s">
        <v>45</v>
      </c>
      <c r="I9" s="5">
        <v>6</v>
      </c>
      <c r="J9" s="52">
        <v>93.38124999999998</v>
      </c>
      <c r="K9" s="5" t="s">
        <v>134</v>
      </c>
    </row>
    <row r="10" spans="1:17" x14ac:dyDescent="0.3">
      <c r="A10" s="4" t="s">
        <v>13</v>
      </c>
      <c r="B10" s="50">
        <v>6</v>
      </c>
      <c r="E10" s="4" t="s">
        <v>21</v>
      </c>
      <c r="F10" s="8">
        <v>92.437142857142874</v>
      </c>
      <c r="H10" s="5" t="s">
        <v>41</v>
      </c>
      <c r="I10" s="5">
        <v>5</v>
      </c>
      <c r="J10" s="52">
        <v>91.871428571428552</v>
      </c>
      <c r="K10" s="5" t="s">
        <v>135</v>
      </c>
    </row>
    <row r="11" spans="1:17" x14ac:dyDescent="0.3">
      <c r="A11" s="4" t="s">
        <v>45</v>
      </c>
      <c r="B11" s="50">
        <v>6</v>
      </c>
      <c r="E11" s="4" t="s">
        <v>13</v>
      </c>
      <c r="F11" s="8">
        <v>92.487272727272696</v>
      </c>
      <c r="H11" s="5" t="s">
        <v>11</v>
      </c>
      <c r="I11" s="5">
        <v>4</v>
      </c>
      <c r="J11" s="52">
        <v>92.108333333333334</v>
      </c>
      <c r="K11" s="5" t="s">
        <v>135</v>
      </c>
    </row>
    <row r="12" spans="1:17" x14ac:dyDescent="0.3">
      <c r="A12" s="4" t="s">
        <v>41</v>
      </c>
      <c r="B12" s="50">
        <v>5</v>
      </c>
      <c r="E12" s="4" t="s">
        <v>37</v>
      </c>
      <c r="F12" s="8">
        <v>92.500000000000028</v>
      </c>
      <c r="H12" s="5" t="s">
        <v>31</v>
      </c>
      <c r="I12" s="5">
        <v>4</v>
      </c>
      <c r="J12" s="52">
        <v>92.182857142857145</v>
      </c>
      <c r="K12" s="5" t="s">
        <v>135</v>
      </c>
    </row>
    <row r="13" spans="1:17" x14ac:dyDescent="0.3">
      <c r="A13" s="4" t="s">
        <v>11</v>
      </c>
      <c r="B13" s="50">
        <v>4</v>
      </c>
      <c r="E13" s="4" t="s">
        <v>19</v>
      </c>
      <c r="F13" s="8">
        <v>92.564285714285703</v>
      </c>
      <c r="H13" s="5" t="s">
        <v>9</v>
      </c>
      <c r="I13" s="5">
        <v>4</v>
      </c>
      <c r="J13" s="52">
        <v>91.519512195121919</v>
      </c>
      <c r="K13" s="5" t="s">
        <v>135</v>
      </c>
    </row>
    <row r="14" spans="1:17" x14ac:dyDescent="0.3">
      <c r="A14" s="4" t="s">
        <v>31</v>
      </c>
      <c r="B14" s="50">
        <v>4</v>
      </c>
      <c r="E14" s="4" t="s">
        <v>15</v>
      </c>
      <c r="F14" s="8">
        <v>92.579411764705867</v>
      </c>
      <c r="H14" s="5" t="s">
        <v>23</v>
      </c>
      <c r="I14" s="5">
        <v>4</v>
      </c>
      <c r="J14" s="52">
        <v>93.328846153846143</v>
      </c>
      <c r="K14" s="5" t="s">
        <v>134</v>
      </c>
    </row>
    <row r="15" spans="1:17" x14ac:dyDescent="0.3">
      <c r="A15" s="4" t="s">
        <v>9</v>
      </c>
      <c r="B15" s="50">
        <v>4</v>
      </c>
      <c r="E15" s="4" t="s">
        <v>33</v>
      </c>
      <c r="F15" s="8">
        <v>92.687500000000014</v>
      </c>
      <c r="H15" s="5" t="s">
        <v>19</v>
      </c>
      <c r="I15" s="5">
        <v>3</v>
      </c>
      <c r="J15" s="52">
        <v>92.564285714285703</v>
      </c>
      <c r="K15" s="5" t="s">
        <v>134</v>
      </c>
    </row>
    <row r="16" spans="1:17" x14ac:dyDescent="0.3">
      <c r="A16" s="4" t="s">
        <v>23</v>
      </c>
      <c r="B16" s="50">
        <v>4</v>
      </c>
      <c r="E16" s="4" t="s">
        <v>43</v>
      </c>
      <c r="F16" s="8">
        <v>92.878048780487788</v>
      </c>
      <c r="H16" s="5" t="s">
        <v>39</v>
      </c>
      <c r="I16" s="5">
        <v>3</v>
      </c>
      <c r="J16" s="52">
        <v>92.897142857142867</v>
      </c>
      <c r="K16" s="5" t="s">
        <v>135</v>
      </c>
    </row>
    <row r="17" spans="1:11" x14ac:dyDescent="0.3">
      <c r="A17" s="4" t="s">
        <v>19</v>
      </c>
      <c r="B17" s="50">
        <v>3</v>
      </c>
      <c r="E17" s="4" t="s">
        <v>39</v>
      </c>
      <c r="F17" s="8">
        <v>92.897142857142867</v>
      </c>
      <c r="H17" s="5" t="s">
        <v>21</v>
      </c>
      <c r="I17" s="5">
        <v>3</v>
      </c>
      <c r="J17" s="52">
        <v>92.437142857142874</v>
      </c>
      <c r="K17" s="5" t="s">
        <v>135</v>
      </c>
    </row>
    <row r="18" spans="1:11" x14ac:dyDescent="0.3">
      <c r="A18" s="4" t="s">
        <v>39</v>
      </c>
      <c r="B18" s="50">
        <v>3</v>
      </c>
      <c r="E18" s="4" t="s">
        <v>35</v>
      </c>
      <c r="F18" s="8">
        <v>93.039393939393946</v>
      </c>
      <c r="H18" s="5" t="s">
        <v>35</v>
      </c>
      <c r="I18" s="5">
        <v>2</v>
      </c>
      <c r="J18" s="52">
        <v>93.039393939393946</v>
      </c>
      <c r="K18" s="5" t="s">
        <v>134</v>
      </c>
    </row>
    <row r="19" spans="1:11" x14ac:dyDescent="0.3">
      <c r="A19" s="4" t="s">
        <v>21</v>
      </c>
      <c r="B19" s="50">
        <v>3</v>
      </c>
      <c r="E19" s="4" t="s">
        <v>47</v>
      </c>
      <c r="F19" s="8">
        <v>93.15</v>
      </c>
      <c r="H19" s="5" t="s">
        <v>29</v>
      </c>
      <c r="I19" s="5">
        <v>2</v>
      </c>
      <c r="J19" s="52">
        <v>93.15</v>
      </c>
      <c r="K19" s="5" t="s">
        <v>134</v>
      </c>
    </row>
    <row r="20" spans="1:11" x14ac:dyDescent="0.3">
      <c r="A20" s="4" t="s">
        <v>35</v>
      </c>
      <c r="B20" s="50">
        <v>2</v>
      </c>
      <c r="E20" s="4" t="s">
        <v>29</v>
      </c>
      <c r="F20" s="8">
        <v>93.282608695652129</v>
      </c>
      <c r="H20" s="5" t="s">
        <v>43</v>
      </c>
      <c r="I20" s="5">
        <v>1</v>
      </c>
      <c r="J20" s="52">
        <v>92.878048780487788</v>
      </c>
      <c r="K20" s="5" t="s">
        <v>134</v>
      </c>
    </row>
    <row r="21" spans="1:11" x14ac:dyDescent="0.3">
      <c r="A21" s="4" t="s">
        <v>29</v>
      </c>
      <c r="B21" s="50">
        <v>2</v>
      </c>
      <c r="E21" s="4" t="s">
        <v>23</v>
      </c>
      <c r="F21" s="8">
        <v>93.328846153846143</v>
      </c>
      <c r="H21" s="5" t="s">
        <v>47</v>
      </c>
      <c r="I21" s="5">
        <v>1</v>
      </c>
      <c r="J21" s="52">
        <v>93.15</v>
      </c>
      <c r="K21" s="5" t="s">
        <v>134</v>
      </c>
    </row>
    <row r="22" spans="1:11" x14ac:dyDescent="0.3">
      <c r="A22" s="4" t="s">
        <v>43</v>
      </c>
      <c r="B22" s="50">
        <v>1</v>
      </c>
      <c r="E22" s="4" t="s">
        <v>45</v>
      </c>
      <c r="F22" s="8">
        <v>93.38124999999998</v>
      </c>
    </row>
    <row r="23" spans="1:11" x14ac:dyDescent="0.3">
      <c r="A23" s="4" t="s">
        <v>47</v>
      </c>
      <c r="B23" s="50">
        <v>1</v>
      </c>
      <c r="E23" s="4" t="s">
        <v>25</v>
      </c>
      <c r="F23" s="8">
        <v>93.710204081632654</v>
      </c>
      <c r="G23" s="7" t="s">
        <v>74</v>
      </c>
      <c r="H23" t="s">
        <v>139</v>
      </c>
    </row>
    <row r="24" spans="1:11" x14ac:dyDescent="0.3">
      <c r="A24" s="4" t="s">
        <v>65</v>
      </c>
      <c r="B24" s="50">
        <v>96</v>
      </c>
      <c r="E24" s="4" t="s">
        <v>65</v>
      </c>
      <c r="F24" s="8">
        <v>92.529192546583815</v>
      </c>
      <c r="G24" s="53" t="s">
        <v>93</v>
      </c>
      <c r="H24" t="s">
        <v>136</v>
      </c>
    </row>
    <row r="25" spans="1:11" x14ac:dyDescent="0.3">
      <c r="G25" s="53" t="s">
        <v>96</v>
      </c>
      <c r="H25" t="s">
        <v>137</v>
      </c>
    </row>
    <row r="26" spans="1:11" x14ac:dyDescent="0.3">
      <c r="G26" s="53" t="s">
        <v>96</v>
      </c>
      <c r="H26" t="s">
        <v>138</v>
      </c>
    </row>
    <row r="28" spans="1:11" x14ac:dyDescent="0.3">
      <c r="G28" s="53" t="s">
        <v>147</v>
      </c>
      <c r="H28" t="s">
        <v>149</v>
      </c>
    </row>
    <row r="29" spans="1:11" x14ac:dyDescent="0.3">
      <c r="G29" s="53" t="s">
        <v>147</v>
      </c>
      <c r="H29" t="s">
        <v>148</v>
      </c>
    </row>
  </sheetData>
  <mergeCells count="2">
    <mergeCell ref="N1:N2"/>
    <mergeCell ref="O1:Q2"/>
  </mergeCells>
  <conditionalFormatting sqref="K2:K21">
    <cfRule type="containsText" dxfId="12" priority="2" operator="containsText" text="Theft">
      <formula>NOT(ISERROR(SEARCH("Theft",K2)))</formula>
    </cfRule>
    <cfRule type="containsText" dxfId="13" priority="1" operator="containsText" text="Leakage">
      <formula>NOT(ISERROR(SEARCH("Leakage",K2)))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1 Data Validation &amp; Cleani</vt:lpstr>
      <vt:lpstr>Task 2 KPI_Analysis</vt:lpstr>
      <vt:lpstr>Task 3 Business Insights</vt:lpstr>
      <vt:lpstr>Fleet_Data</vt:lpstr>
      <vt:lpstr>Fuel_Events</vt:lpstr>
      <vt:lpstr>Task 4 Fuel Investigation</vt:lpstr>
      <vt:lpstr>Task 4 Fuel Investigation Q-4&amp;5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Aayushi Pathak</cp:lastModifiedBy>
  <dcterms:created xsi:type="dcterms:W3CDTF">2026-06-04T11:57:07Z</dcterms:created>
  <dcterms:modified xsi:type="dcterms:W3CDTF">2026-07-19T06:03:29Z</dcterms:modified>
</cp:coreProperties>
</file>